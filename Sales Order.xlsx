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8\Desktop\"/>
    </mc:Choice>
  </mc:AlternateContent>
  <xr:revisionPtr revIDLastSave="0" documentId="13_ncr:1_{F071D1B3-70D3-4996-A747-020E54D9D676}" xr6:coauthVersionLast="47" xr6:coauthVersionMax="47" xr10:uidLastSave="{00000000-0000-0000-0000-000000000000}"/>
  <bookViews>
    <workbookView xWindow="-120" yWindow="-120" windowWidth="24240" windowHeight="13020" xr2:uid="{D35A5A12-C104-4DEA-A143-95AFF1A2D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  <c r="D15" i="1"/>
  <c r="B16" i="1"/>
  <c r="B17" i="1"/>
  <c r="B18" i="1"/>
  <c r="B19" i="1"/>
  <c r="B20" i="1"/>
  <c r="B21" i="1"/>
  <c r="B22" i="1"/>
  <c r="B23" i="1"/>
  <c r="B24" i="1"/>
  <c r="B15" i="1"/>
  <c r="C15" i="1" s="1"/>
  <c r="C17" i="1"/>
  <c r="C18" i="1"/>
  <c r="C19" i="1"/>
  <c r="C20" i="1"/>
  <c r="C21" i="1"/>
  <c r="C22" i="1"/>
  <c r="C23" i="1"/>
  <c r="C24" i="1"/>
  <c r="C16" i="1"/>
  <c r="J16" i="1" a="1"/>
  <c r="J17" i="1" a="1"/>
  <c r="J18" i="1" a="1"/>
  <c r="J19" i="1" a="1"/>
  <c r="J20" i="1" a="1"/>
  <c r="J21" i="1" a="1"/>
  <c r="J22" i="1" a="1"/>
  <c r="J23" i="1" a="1"/>
  <c r="J24" i="1" a="1"/>
  <c r="L15" i="1"/>
  <c r="K15" i="1"/>
  <c r="J15" i="1" a="1"/>
  <c r="I16" i="1"/>
  <c r="I17" i="1"/>
  <c r="I18" i="1"/>
  <c r="I19" i="1"/>
  <c r="I20" i="1"/>
  <c r="I21" i="1"/>
  <c r="I22" i="1"/>
  <c r="I23" i="1"/>
  <c r="I24" i="1"/>
  <c r="I15" i="1"/>
  <c r="H18" i="1"/>
  <c r="H19" i="1"/>
  <c r="H20" i="1"/>
  <c r="H21" i="1"/>
  <c r="H22" i="1"/>
  <c r="H23" i="1"/>
  <c r="H24" i="1"/>
  <c r="H17" i="1"/>
  <c r="H16" i="1"/>
  <c r="H15" i="1"/>
  <c r="G17" i="1"/>
  <c r="G18" i="1"/>
  <c r="G19" i="1"/>
  <c r="G20" i="1"/>
  <c r="G21" i="1"/>
  <c r="G22" i="1"/>
  <c r="G23" i="1"/>
  <c r="G24" i="1"/>
  <c r="G16" i="1"/>
  <c r="G15" i="1"/>
  <c r="F19" i="1"/>
  <c r="F20" i="1"/>
  <c r="F21" i="1"/>
  <c r="F22" i="1"/>
  <c r="F23" i="1"/>
  <c r="F24" i="1"/>
  <c r="F18" i="1"/>
  <c r="F17" i="1"/>
  <c r="F16" i="1"/>
  <c r="F15" i="1"/>
  <c r="A16" i="1"/>
  <c r="A17" i="1"/>
  <c r="A18" i="1"/>
  <c r="A19" i="1"/>
  <c r="A20" i="1"/>
  <c r="A21" i="1"/>
  <c r="A22" i="1"/>
  <c r="A23" i="1"/>
  <c r="A24" i="1"/>
  <c r="A25" i="1"/>
  <c r="A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<sst xmlns="http://schemas.openxmlformats.org/spreadsheetml/2006/main" count="120" uniqueCount="74">
  <si>
    <t>Order ID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</si>
  <si>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</si>
  <si>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</si>
  <si>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</si>
  <si>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</si>
  <si>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</si>
  <si>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</si>
  <si>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</si>
  <si>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</si>
  <si>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</si>
  <si>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</si>
  <si>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CUSTOMER NAME</t>
  </si>
  <si>
    <t>Gender</t>
  </si>
  <si>
    <t>Rahul Sharma</t>
  </si>
  <si>
    <t>Anita Singh</t>
  </si>
  <si>
    <t>Rohit Kumar</t>
  </si>
  <si>
    <t>Neha Patil</t>
  </si>
  <si>
    <t>Amit Shah</t>
  </si>
  <si>
    <t>Sneha Joshi</t>
  </si>
  <si>
    <t>Karan More</t>
  </si>
  <si>
    <t>Priya Patil</t>
  </si>
  <si>
    <t>Akash Jain</t>
  </si>
  <si>
    <t>Pooja Verma</t>
  </si>
  <si>
    <t>Male</t>
  </si>
  <si>
    <t>Female</t>
  </si>
  <si>
    <t>Sate</t>
  </si>
  <si>
    <t>Maharashtra</t>
  </si>
  <si>
    <t>Gujarat</t>
  </si>
  <si>
    <t>Karnataka</t>
  </si>
  <si>
    <t>Gujrata</t>
  </si>
  <si>
    <t>Delhi</t>
  </si>
  <si>
    <t>Product</t>
  </si>
  <si>
    <t>Laptop</t>
  </si>
  <si>
    <t>Mobile</t>
  </si>
  <si>
    <t>Chair</t>
  </si>
  <si>
    <t>Printer</t>
  </si>
  <si>
    <t>Table</t>
  </si>
  <si>
    <t>Sofa</t>
  </si>
  <si>
    <t>Category</t>
  </si>
  <si>
    <t>Electronics</t>
  </si>
  <si>
    <t>Furniture</t>
  </si>
  <si>
    <t>Order date</t>
  </si>
  <si>
    <t>Delivery date</t>
  </si>
  <si>
    <t>Qty</t>
  </si>
  <si>
    <t>Unit Price</t>
  </si>
  <si>
    <t>Discount %</t>
  </si>
  <si>
    <t>Salesperson</t>
  </si>
  <si>
    <t>Amit</t>
  </si>
  <si>
    <t>Priya</t>
  </si>
  <si>
    <t>Karan</t>
  </si>
  <si>
    <t>Payment Mode</t>
  </si>
  <si>
    <t>UPI</t>
  </si>
  <si>
    <t>Card</t>
  </si>
  <si>
    <t>Cash</t>
  </si>
  <si>
    <t>Net Banking</t>
  </si>
  <si>
    <t>Status</t>
  </si>
  <si>
    <t>Delivered</t>
  </si>
  <si>
    <t>Pending</t>
  </si>
  <si>
    <t>question 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</si>
  <si>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</si>
  <si>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</si>
  <si>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</si>
  <si>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</si>
  <si>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</si>
  <si>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</si>
  <si>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</si>
  <si>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</si>
  <si>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</si>
  <si>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</si>
  <si>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</si>
  <si>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</si>
  <si>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</si>
  <si>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question16</t>
  </si>
  <si>
    <t>QUESTION15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</si>
</sst>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A424-F84B-4B09-93E7-E01D50A930B0}">
  <dimension ref="A1:N30"/>
  <sheetViews>
    <sheetView tabSelected="1" topLeftCell="A13" workbookViewId="0">
      <selection activeCell="D30" sqref="D30"/>
    </sheetView>
  </sheetViews>
  <sheetFormatPr defaultRowHeight="15" x14ac:dyDescent="0.25"/>
  <cols>
    <col min="1" max="1" width="13.7109375" customWidth="1"/>
    <col min="2" max="2" width="13.28515625" customWidth="1"/>
    <col min="3" max="3" width="13.140625" customWidth="1"/>
    <col min="4" max="5" width="11.85546875" customWidth="1"/>
    <col min="6" max="6" width="10.85546875" customWidth="1"/>
    <col min="7" max="7" width="12.7109375" customWidth="1"/>
    <col min="8" max="8" width="11.5703125" customWidth="1"/>
    <col min="9" max="9" width="14.28515625" customWidth="1"/>
    <col min="10" max="10" width="12.85546875" customWidth="1"/>
    <col min="11" max="11" width="12.5703125" customWidth="1"/>
    <col min="12" max="12" width="13" customWidth="1"/>
    <col min="13" max="13" width="11.7109375" customWidth="1"/>
    <col min="14" max="14" width="12.140625" bestFit="1" customWidth="1"/>
  </cols>
  <sheetData>
    <row r="1" spans="1:14" ht="30" x14ac:dyDescent="0.25">
      <c r="A1" t="s">
        <v>0</v>
      </c>
      <c r="B1" s="2" t="s">
        <v>11</v>
      </c>
      <c r="C1" t="s">
        <v>12</v>
      </c>
      <c r="D1" t="s">
        <v>25</v>
      </c>
      <c r="E1" t="s">
        <v>31</v>
      </c>
      <c r="F1" t="s">
        <v>38</v>
      </c>
      <c r="G1" t="s">
        <v>41</v>
      </c>
      <c r="H1" s="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50</v>
      </c>
      <c r="N1" t="s">
        <v>55</v>
      </c>
    </row>
    <row r="2" spans="1:14" x14ac:dyDescent="0.25">
      <c r="A2" t="s">
        <v>1</v>
      </c>
      <c r="B2" t="s">
        <v>13</v>
      </c>
      <c r="C2" t="s">
        <v>23</v>
      </c>
      <c r="D2" t="s">
        <v>26</v>
      </c>
      <c r="E2" t="s">
        <v>32</v>
      </c>
      <c r="F2" t="s">
        <v>39</v>
      </c>
      <c r="G2" s="3">
        <v>46032</v>
      </c>
      <c r="H2" s="3">
        <v>46037</v>
      </c>
      <c r="I2">
        <v>2</v>
      </c>
      <c r="J2">
        <v>55000</v>
      </c>
      <c r="K2" s="4">
        <v>0.1</v>
      </c>
      <c r="L2" t="s">
        <v>47</v>
      </c>
      <c r="M2" t="s">
        <v>51</v>
      </c>
      <c r="N2" t="s">
        <v>56</v>
      </c>
    </row>
    <row r="3" spans="1:14" x14ac:dyDescent="0.25">
      <c r="A3" t="s">
        <v>2</v>
      </c>
      <c r="B3" t="s">
        <v>14</v>
      </c>
      <c r="C3" t="s">
        <v>24</v>
      </c>
      <c r="D3" t="s">
        <v>27</v>
      </c>
      <c r="E3" t="s">
        <v>33</v>
      </c>
      <c r="F3" t="s">
        <v>39</v>
      </c>
      <c r="G3" s="3">
        <v>46034</v>
      </c>
      <c r="H3" s="3">
        <v>46040</v>
      </c>
      <c r="I3">
        <v>3</v>
      </c>
      <c r="J3">
        <v>25000</v>
      </c>
      <c r="K3" s="4">
        <v>0.05</v>
      </c>
      <c r="L3" t="s">
        <v>48</v>
      </c>
      <c r="M3" t="s">
        <v>52</v>
      </c>
      <c r="N3" t="s">
        <v>56</v>
      </c>
    </row>
    <row r="4" spans="1:14" x14ac:dyDescent="0.25">
      <c r="A4" t="s">
        <v>3</v>
      </c>
      <c r="B4" t="s">
        <v>15</v>
      </c>
      <c r="C4" t="s">
        <v>23</v>
      </c>
      <c r="D4" t="s">
        <v>26</v>
      </c>
      <c r="E4" t="s">
        <v>34</v>
      </c>
      <c r="F4" t="s">
        <v>40</v>
      </c>
      <c r="G4" s="3">
        <v>46037</v>
      </c>
      <c r="H4" s="3">
        <v>46042</v>
      </c>
      <c r="I4">
        <v>5</v>
      </c>
      <c r="J4">
        <v>3500</v>
      </c>
      <c r="K4" s="4">
        <v>0.15</v>
      </c>
      <c r="L4" t="s">
        <v>47</v>
      </c>
      <c r="M4" t="s">
        <v>53</v>
      </c>
      <c r="N4" t="s">
        <v>56</v>
      </c>
    </row>
    <row r="5" spans="1:14" x14ac:dyDescent="0.25">
      <c r="A5" t="s">
        <v>4</v>
      </c>
      <c r="B5" t="s">
        <v>16</v>
      </c>
      <c r="C5" t="s">
        <v>24</v>
      </c>
      <c r="D5" t="s">
        <v>28</v>
      </c>
      <c r="E5" t="s">
        <v>35</v>
      </c>
      <c r="F5" t="s">
        <v>39</v>
      </c>
      <c r="G5" s="3">
        <v>46040</v>
      </c>
      <c r="H5" s="3">
        <v>46047</v>
      </c>
      <c r="I5">
        <v>1</v>
      </c>
      <c r="J5">
        <v>18000</v>
      </c>
      <c r="K5" s="4">
        <v>0.08</v>
      </c>
      <c r="L5" t="s">
        <v>49</v>
      </c>
      <c r="M5" t="s">
        <v>51</v>
      </c>
      <c r="N5" t="s">
        <v>57</v>
      </c>
    </row>
    <row r="6" spans="1:14" x14ac:dyDescent="0.25">
      <c r="A6" t="s">
        <v>5</v>
      </c>
      <c r="B6" t="s">
        <v>17</v>
      </c>
      <c r="C6" t="s">
        <v>23</v>
      </c>
      <c r="D6" t="s">
        <v>26</v>
      </c>
      <c r="E6" t="s">
        <v>36</v>
      </c>
      <c r="F6" t="s">
        <v>40</v>
      </c>
      <c r="G6" s="3">
        <v>46042</v>
      </c>
      <c r="H6" s="3">
        <v>46050</v>
      </c>
      <c r="I6">
        <v>2</v>
      </c>
      <c r="J6">
        <v>12000</v>
      </c>
      <c r="K6" s="4">
        <v>0.12</v>
      </c>
      <c r="L6" t="s">
        <v>48</v>
      </c>
      <c r="M6" t="s">
        <v>52</v>
      </c>
      <c r="N6" t="s">
        <v>56</v>
      </c>
    </row>
    <row r="7" spans="1:14" x14ac:dyDescent="0.25">
      <c r="A7" t="s">
        <v>6</v>
      </c>
      <c r="B7" t="s">
        <v>18</v>
      </c>
      <c r="C7" t="s">
        <v>24</v>
      </c>
      <c r="D7" t="s">
        <v>29</v>
      </c>
      <c r="E7" t="s">
        <v>32</v>
      </c>
      <c r="F7" t="s">
        <v>39</v>
      </c>
      <c r="G7" s="3">
        <v>46044</v>
      </c>
      <c r="H7" s="3">
        <v>46052</v>
      </c>
      <c r="I7">
        <v>1</v>
      </c>
      <c r="J7">
        <v>60000</v>
      </c>
      <c r="K7" s="4">
        <v>0.05</v>
      </c>
      <c r="L7" t="s">
        <v>47</v>
      </c>
      <c r="M7" t="s">
        <v>54</v>
      </c>
      <c r="N7" t="s">
        <v>56</v>
      </c>
    </row>
    <row r="8" spans="1:14" x14ac:dyDescent="0.25">
      <c r="A8" t="s">
        <v>7</v>
      </c>
      <c r="B8" t="s">
        <v>19</v>
      </c>
      <c r="C8" t="s">
        <v>23</v>
      </c>
      <c r="D8" t="s">
        <v>26</v>
      </c>
      <c r="E8" t="s">
        <v>33</v>
      </c>
      <c r="F8" t="s">
        <v>39</v>
      </c>
      <c r="G8" s="3">
        <v>46047</v>
      </c>
      <c r="H8" s="3">
        <v>46055</v>
      </c>
      <c r="I8">
        <v>4</v>
      </c>
      <c r="J8">
        <v>22000</v>
      </c>
      <c r="K8" s="4">
        <v>0.1</v>
      </c>
      <c r="L8" t="s">
        <v>48</v>
      </c>
      <c r="M8" t="s">
        <v>51</v>
      </c>
      <c r="N8" t="s">
        <v>56</v>
      </c>
    </row>
    <row r="9" spans="1:14" x14ac:dyDescent="0.25">
      <c r="A9" t="s">
        <v>8</v>
      </c>
      <c r="B9" t="s">
        <v>20</v>
      </c>
      <c r="C9" t="s">
        <v>24</v>
      </c>
      <c r="D9" t="s">
        <v>28</v>
      </c>
      <c r="E9" t="s">
        <v>37</v>
      </c>
      <c r="F9" t="s">
        <v>40</v>
      </c>
      <c r="G9" s="3">
        <v>46050</v>
      </c>
      <c r="H9" s="3">
        <v>46058</v>
      </c>
      <c r="I9">
        <v>1</v>
      </c>
      <c r="J9">
        <v>45000</v>
      </c>
      <c r="K9" s="4">
        <v>0.2</v>
      </c>
      <c r="L9" t="s">
        <v>47</v>
      </c>
      <c r="M9" t="s">
        <v>53</v>
      </c>
      <c r="N9" t="s">
        <v>56</v>
      </c>
    </row>
    <row r="10" spans="1:14" x14ac:dyDescent="0.25">
      <c r="A10" t="s">
        <v>9</v>
      </c>
      <c r="B10" t="s">
        <v>21</v>
      </c>
      <c r="C10" t="s">
        <v>23</v>
      </c>
      <c r="D10" t="s">
        <v>30</v>
      </c>
      <c r="E10" t="s">
        <v>32</v>
      </c>
      <c r="F10" t="s">
        <v>39</v>
      </c>
      <c r="G10" s="3">
        <v>46052</v>
      </c>
      <c r="H10" s="3">
        <v>46059</v>
      </c>
      <c r="I10">
        <v>2</v>
      </c>
      <c r="J10">
        <v>58000</v>
      </c>
      <c r="K10" s="4">
        <v>0.15</v>
      </c>
      <c r="L10" t="s">
        <v>49</v>
      </c>
      <c r="M10" t="s">
        <v>52</v>
      </c>
      <c r="N10" t="s">
        <v>56</v>
      </c>
    </row>
    <row r="11" spans="1:14" x14ac:dyDescent="0.25">
      <c r="A11" t="s">
        <v>10</v>
      </c>
      <c r="B11" t="s">
        <v>22</v>
      </c>
      <c r="C11" t="s">
        <v>24</v>
      </c>
      <c r="D11" t="s">
        <v>26</v>
      </c>
      <c r="E11" t="s">
        <v>35</v>
      </c>
      <c r="F11" t="s">
        <v>39</v>
      </c>
      <c r="G11" s="3">
        <v>46055</v>
      </c>
      <c r="H11" s="3">
        <v>46061</v>
      </c>
      <c r="I11">
        <v>3</v>
      </c>
      <c r="J11">
        <v>17000</v>
      </c>
      <c r="K11" s="4">
        <v>0.05</v>
      </c>
      <c r="L11" t="s">
        <v>47</v>
      </c>
      <c r="M11" t="s">
        <v>51</v>
      </c>
      <c r="N11" t="s">
        <v>56</v>
      </c>
    </row>
    <row r="14" spans="1:14" x14ac:dyDescent="0.25">
      <c r="A14" t="s">
        <v>58</v>
      </c>
      <c r="B14" t="s">
        <v>60</v>
      </c>
      <c r="C14" t="s">
        <v>61</v>
      </c>
      <c r="D14" t="s">
        <v>62</v>
      </c>
      <c r="E14" t="s">
        <v>59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</row>
    <row r="15" spans="1:14" x14ac:dyDescent="0.25">
      <c r="A15" t="str">
        <f>UPPER(LEFT(B2,3)&amp;RIGHT(A2,4))</f>
        <v>RAH1001</v>
      </c>
      <c r="B15">
        <f>I2*J2</f>
        <v>110000</v>
      </c>
      <c r="C15">
        <f>B15*K2</f>
        <v>11000</v>
      </c>
      <c r="D15">
        <f>B15-C15</f>
        <v>99000</v>
      </c>
      <c r="F15" t="str">
        <f>TEXT(G2,"DDDD")</f>
        <v>Saturday</v>
      </c>
      <c r="G15" t="str">
        <f>TEXT(H2,"MMMM")</f>
        <v>January</v>
      </c>
      <c r="H15">
        <f>H2-G2</f>
        <v>5</v>
      </c>
      <c r="I15" t="str">
        <f>IF(H15&gt;7,"LATE DELIVERY","ON TIME")</f>
        <v>ON TIME</v>
      </c>
      <c r="J15" t="str" cm="1">
        <f t="array" ref="J15">_xlfn.IFS(K2&gt;=20%,"EXCELLENT",K2&gt;=15%,"HIGH",K2&gt;=10%,"MEDIUM",K2&gt;=5%,"LOW",K2=0,"NO DISCOUNT")</f>
        <v>MEDIUM</v>
      </c>
      <c r="K15">
        <f>COUNTIF(F2:F11,"ELECTRONICS")</f>
        <v>7</v>
      </c>
      <c r="L15">
        <f>COUNTIFS(F2:F11,"Electronics",N2:N11,"Delivered")</f>
        <v>6</v>
      </c>
    </row>
    <row r="16" spans="1:14" x14ac:dyDescent="0.25">
      <c r="A16" t="str">
        <f t="shared" ref="A16:A25" si="0">UPPER(LEFT(B3,3)&amp;RIGHT(A3,4))</f>
        <v>ANI1002</v>
      </c>
      <c r="B16">
        <f t="shared" ref="B16:B24" si="1">I3*J3</f>
        <v>75000</v>
      </c>
      <c r="C16">
        <f>B16*K3</f>
        <v>3750</v>
      </c>
      <c r="D16">
        <f t="shared" ref="D16:D24" si="2">B16-C16</f>
        <v>71250</v>
      </c>
      <c r="F16" t="str">
        <f>TEXT(G3,"DDDD")</f>
        <v>Monday</v>
      </c>
      <c r="G16" t="str">
        <f>TEXT(H3,"MMMM")</f>
        <v>January</v>
      </c>
      <c r="H16">
        <f>H3-G3</f>
        <v>6</v>
      </c>
      <c r="I16" t="str">
        <f t="shared" ref="I16:I24" si="3">IF(H16&gt;7,"LATE DELIVERY","ON TIME")</f>
        <v>ON TIME</v>
      </c>
      <c r="J16" t="str" cm="1">
        <f t="array" ref="J16">_xlfn.IFS(K3&gt;=20%,"EXCELLENT",K3&gt;=15%,"HIGH",K3&gt;=10%,"MEDIUM",K3&gt;=5%,"LOW",K3=0,"NO DISCOUNT")</f>
        <v>LOW</v>
      </c>
    </row>
    <row r="17" spans="1:10" x14ac:dyDescent="0.25">
      <c r="A17" t="str">
        <f t="shared" si="0"/>
        <v>ROH1003</v>
      </c>
      <c r="B17">
        <f t="shared" si="1"/>
        <v>17500</v>
      </c>
      <c r="C17">
        <f t="shared" ref="C17:C24" si="4">B17*K4</f>
        <v>2625</v>
      </c>
      <c r="D17">
        <f t="shared" si="2"/>
        <v>14875</v>
      </c>
      <c r="F17" t="str">
        <f>TEXT(G4,"DDDD")</f>
        <v>Thursday</v>
      </c>
      <c r="G17" t="str">
        <f t="shared" ref="G17:G24" si="5">TEXT(H4,"MMMM")</f>
        <v>January</v>
      </c>
      <c r="H17">
        <f>H4-G4</f>
        <v>5</v>
      </c>
      <c r="I17" t="str">
        <f t="shared" si="3"/>
        <v>ON TIME</v>
      </c>
      <c r="J17" t="str" cm="1">
        <f t="array" ref="J17">_xlfn.IFS(K4&gt;=20%,"EXCELLENT",K4&gt;=15%,"HIGH",K4&gt;=10%,"MEDIUM",K4&gt;=5%,"LOW",K4=0,"NO DISCOUNT")</f>
        <v>HIGH</v>
      </c>
    </row>
    <row r="18" spans="1:10" x14ac:dyDescent="0.25">
      <c r="A18" t="str">
        <f t="shared" si="0"/>
        <v>NEH1004</v>
      </c>
      <c r="B18">
        <f t="shared" si="1"/>
        <v>18000</v>
      </c>
      <c r="C18">
        <f t="shared" si="4"/>
        <v>1440</v>
      </c>
      <c r="D18">
        <f t="shared" si="2"/>
        <v>16560</v>
      </c>
      <c r="F18" t="str">
        <f>TEXT(G5,"DDDD")</f>
        <v>Sunday</v>
      </c>
      <c r="G18" t="str">
        <f t="shared" si="5"/>
        <v>January</v>
      </c>
      <c r="H18">
        <f t="shared" ref="H18:H24" si="6">H5-G5</f>
        <v>7</v>
      </c>
      <c r="I18" t="str">
        <f t="shared" si="3"/>
        <v>ON TIME</v>
      </c>
      <c r="J18" t="str" cm="1">
        <f t="array" ref="J18">_xlfn.IFS(K5&gt;=20%,"EXCELLENT",K5&gt;=15%,"HIGH",K5&gt;=10%,"MEDIUM",K5&gt;=5%,"LOW",K5=0,"NO DISCOUNT")</f>
        <v>LOW</v>
      </c>
    </row>
    <row r="19" spans="1:10" x14ac:dyDescent="0.25">
      <c r="A19" t="str">
        <f t="shared" si="0"/>
        <v>AMI1005</v>
      </c>
      <c r="B19">
        <f t="shared" si="1"/>
        <v>24000</v>
      </c>
      <c r="C19">
        <f t="shared" si="4"/>
        <v>2880</v>
      </c>
      <c r="D19">
        <f t="shared" si="2"/>
        <v>21120</v>
      </c>
      <c r="F19" t="str">
        <f t="shared" ref="F19:F24" si="7">TEXT(G6,"DDDD")</f>
        <v>Tuesday</v>
      </c>
      <c r="G19" t="str">
        <f t="shared" si="5"/>
        <v>January</v>
      </c>
      <c r="H19">
        <f t="shared" si="6"/>
        <v>8</v>
      </c>
      <c r="I19" t="str">
        <f t="shared" si="3"/>
        <v>LATE DELIVERY</v>
      </c>
      <c r="J19" t="str" cm="1">
        <f t="array" ref="J19">_xlfn.IFS(K6&gt;=20%,"EXCELLENT",K6&gt;=15%,"HIGH",K6&gt;=10%,"MEDIUM",K6&gt;=5%,"LOW",K6=0,"NO DISCOUNT")</f>
        <v>MEDIUM</v>
      </c>
    </row>
    <row r="20" spans="1:10" x14ac:dyDescent="0.25">
      <c r="A20" t="str">
        <f t="shared" si="0"/>
        <v>SNE1006</v>
      </c>
      <c r="B20">
        <f t="shared" si="1"/>
        <v>60000</v>
      </c>
      <c r="C20">
        <f t="shared" si="4"/>
        <v>3000</v>
      </c>
      <c r="D20">
        <f t="shared" si="2"/>
        <v>57000</v>
      </c>
      <c r="F20" t="str">
        <f t="shared" si="7"/>
        <v>Thursday</v>
      </c>
      <c r="G20" t="str">
        <f t="shared" si="5"/>
        <v>January</v>
      </c>
      <c r="H20">
        <f t="shared" si="6"/>
        <v>8</v>
      </c>
      <c r="I20" t="str">
        <f t="shared" si="3"/>
        <v>LATE DELIVERY</v>
      </c>
      <c r="J20" t="str" cm="1">
        <f t="array" ref="J20">_xlfn.IFS(K7&gt;=20%,"EXCELLENT",K7&gt;=15%,"HIGH",K7&gt;=10%,"MEDIUM",K7&gt;=5%,"LOW",K7=0,"NO DISCOUNT")</f>
        <v>LOW</v>
      </c>
    </row>
    <row r="21" spans="1:10" x14ac:dyDescent="0.25">
      <c r="A21" t="str">
        <f t="shared" si="0"/>
        <v>KAR1007</v>
      </c>
      <c r="B21">
        <f t="shared" si="1"/>
        <v>88000</v>
      </c>
      <c r="C21">
        <f t="shared" si="4"/>
        <v>8800</v>
      </c>
      <c r="D21">
        <f t="shared" si="2"/>
        <v>79200</v>
      </c>
      <c r="F21" t="str">
        <f t="shared" si="7"/>
        <v>Sunday</v>
      </c>
      <c r="G21" t="str">
        <f t="shared" si="5"/>
        <v>February</v>
      </c>
      <c r="H21">
        <f t="shared" si="6"/>
        <v>8</v>
      </c>
      <c r="I21" t="str">
        <f t="shared" si="3"/>
        <v>LATE DELIVERY</v>
      </c>
      <c r="J21" t="str" cm="1">
        <f t="array" ref="J21">_xlfn.IFS(K8&gt;=20%,"EXCELLENT",K8&gt;=15%,"HIGH",K8&gt;=10%,"MEDIUM",K8&gt;=5%,"LOW",K8=0,"NO DISCOUNT")</f>
        <v>MEDIUM</v>
      </c>
    </row>
    <row r="22" spans="1:10" x14ac:dyDescent="0.25">
      <c r="A22" t="str">
        <f t="shared" si="0"/>
        <v>PRI1008</v>
      </c>
      <c r="B22">
        <f t="shared" si="1"/>
        <v>45000</v>
      </c>
      <c r="C22">
        <f t="shared" si="4"/>
        <v>9000</v>
      </c>
      <c r="D22">
        <f t="shared" si="2"/>
        <v>36000</v>
      </c>
      <c r="F22" t="str">
        <f t="shared" si="7"/>
        <v>Wednesday</v>
      </c>
      <c r="G22" t="str">
        <f t="shared" si="5"/>
        <v>February</v>
      </c>
      <c r="H22">
        <f t="shared" si="6"/>
        <v>8</v>
      </c>
      <c r="I22" t="str">
        <f t="shared" si="3"/>
        <v>LATE DELIVERY</v>
      </c>
      <c r="J22" t="str" cm="1">
        <f t="array" ref="J22">_xlfn.IFS(K9&gt;=20%,"EXCELLENT",K9&gt;=15%,"HIGH",K9&gt;=10%,"MEDIUM",K9&gt;=5%,"LOW",K9=0,"NO DISCOUNT")</f>
        <v>EXCELLENT</v>
      </c>
    </row>
    <row r="23" spans="1:10" x14ac:dyDescent="0.25">
      <c r="A23" t="str">
        <f t="shared" si="0"/>
        <v>AKA1009</v>
      </c>
      <c r="B23">
        <f t="shared" si="1"/>
        <v>116000</v>
      </c>
      <c r="C23">
        <f t="shared" si="4"/>
        <v>17400</v>
      </c>
      <c r="D23">
        <f t="shared" si="2"/>
        <v>98600</v>
      </c>
      <c r="F23" t="str">
        <f t="shared" si="7"/>
        <v>Friday</v>
      </c>
      <c r="G23" t="str">
        <f t="shared" si="5"/>
        <v>February</v>
      </c>
      <c r="H23">
        <f t="shared" si="6"/>
        <v>7</v>
      </c>
      <c r="I23" t="str">
        <f t="shared" si="3"/>
        <v>ON TIME</v>
      </c>
      <c r="J23" t="str" cm="1">
        <f t="array" ref="J23">_xlfn.IFS(K10&gt;=20%,"EXCELLENT",K10&gt;=15%,"HIGH",K10&gt;=10%,"MEDIUM",K10&gt;=5%,"LOW",K10=0,"NO DISCOUNT")</f>
        <v>HIGH</v>
      </c>
    </row>
    <row r="24" spans="1:10" x14ac:dyDescent="0.25">
      <c r="A24" t="str">
        <f t="shared" si="0"/>
        <v>POO1010</v>
      </c>
      <c r="B24">
        <f t="shared" si="1"/>
        <v>51000</v>
      </c>
      <c r="C24">
        <f t="shared" si="4"/>
        <v>2550</v>
      </c>
      <c r="D24">
        <f t="shared" si="2"/>
        <v>48450</v>
      </c>
      <c r="F24" t="str">
        <f t="shared" si="7"/>
        <v>Monday</v>
      </c>
      <c r="G24" t="str">
        <f t="shared" si="5"/>
        <v>February</v>
      </c>
      <c r="H24">
        <f t="shared" si="6"/>
        <v>6</v>
      </c>
      <c r="I24" t="str">
        <f t="shared" si="3"/>
        <v>ON TIME</v>
      </c>
      <c r="J24" t="str" cm="1">
        <f t="array" ref="J24">_xlfn.IFS(K11&gt;=20%,"EXCELLENT",K11&gt;=15%,"HIGH",K11&gt;=10%,"MEDIUM",K11&gt;=5%,"LOW",K11=0,"NO DISCOUNT")</f>
        <v>LOW</v>
      </c>
    </row>
    <row r="25" spans="1:10" x14ac:dyDescent="0.25">
      <c r="A25" t="str">
        <f t="shared" si="0"/>
        <v/>
      </c>
    </row>
    <row r="30" spans="1:10" x14ac:dyDescent="0.25">
      <c r="A30" t="s">
        <v>71</v>
      </c>
      <c r="B30" t="s">
        <v>73</v>
      </c>
      <c r="C30" t="s">
        <v>72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lakhekalyani25@gmail.com</dc:creator>
  <cp:lastModifiedBy>lakhekalyani25@gmail.com</cp:lastModifiedBy>
  <dcterms:created xsi:type="dcterms:W3CDTF">2026-07-02T05:27:20Z</dcterms:created>
  <dcterms:modified xsi:type="dcterms:W3CDTF">2026-07-03T05:27:31Z</dcterms:modified>
</cp:coreProperties>
</file>