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-8\Desktop\"/>
    </mc:Choice>
  </mc:AlternateContent>
  <xr:revisionPtr revIDLastSave="0" documentId="13_ncr:1_{215CFA32-A24A-4338-9A59-6487D54771C2}" xr6:coauthVersionLast="47" xr6:coauthVersionMax="47" xr10:uidLastSave="{00000000-0000-0000-0000-000000000000}"/>
  <bookViews>
    <workbookView xWindow="-120" yWindow="-120" windowWidth="24240" windowHeight="13020" xr2:uid="{CDF87817-20B6-425A-9EB5-BD3696C82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J17" i="1"/>
  <c r="J18" i="1"/>
  <c r="J19" i="1"/>
  <c r="J20" i="1"/>
  <c r="J21" i="1"/>
  <c r="J22" i="1"/>
  <c r="J23" i="1"/>
  <c r="J24" i="1"/>
  <c r="J15" i="1"/>
  <c r="E33" i="1"/>
  <c r="E34" i="1"/>
  <c r="E35" i="1"/>
  <c r="E36" i="1"/>
  <c r="E37" i="1"/>
  <c r="E38" i="1"/>
  <c r="E39" i="1"/>
  <c r="E40" i="1"/>
  <c r="I16" i="1"/>
  <c r="I17" i="1"/>
  <c r="I18" i="1"/>
  <c r="I19" i="1"/>
  <c r="I20" i="1"/>
  <c r="I21" i="1"/>
  <c r="I22" i="1"/>
  <c r="I23" i="1"/>
  <c r="I24" i="1"/>
  <c r="E32" i="1"/>
  <c r="E31" i="1"/>
  <c r="I15" i="1"/>
  <c r="I31" i="1"/>
  <c r="J31" i="1"/>
  <c r="F54" i="1"/>
  <c r="G46" i="1"/>
  <c r="G47" i="1"/>
  <c r="G48" i="1"/>
  <c r="G49" i="1"/>
  <c r="G50" i="1"/>
  <c r="G51" i="1"/>
  <c r="G52" i="1"/>
  <c r="G53" i="1"/>
  <c r="G54" i="1"/>
  <c r="G45" i="1"/>
  <c r="F46" i="1"/>
  <c r="F47" i="1"/>
  <c r="F48" i="1"/>
  <c r="F49" i="1"/>
  <c r="F50" i="1"/>
  <c r="F51" i="1"/>
  <c r="F52" i="1"/>
  <c r="F53" i="1"/>
  <c r="F45" i="1"/>
  <c r="E46" i="1"/>
  <c r="E47" i="1"/>
  <c r="E48" i="1"/>
  <c r="E49" i="1"/>
  <c r="E50" i="1"/>
  <c r="E51" i="1"/>
  <c r="E52" i="1"/>
  <c r="E53" i="1"/>
  <c r="E54" i="1"/>
  <c r="E45" i="1"/>
  <c r="B46" i="1" a="1"/>
  <c r="B47" i="1" a="1"/>
  <c r="B48" i="1" a="1"/>
  <c r="B49" i="1" a="1"/>
  <c r="B50" i="1" a="1"/>
  <c r="B51" i="1" a="1"/>
  <c r="B52" i="1" a="1"/>
  <c r="B53" i="1" a="1"/>
  <c r="B54" i="1" a="1"/>
  <c r="B45" i="1" a="1"/>
  <c r="A46" i="1"/>
  <c r="A47" i="1"/>
  <c r="A48" i="1"/>
  <c r="A49" i="1"/>
  <c r="A50" i="1"/>
  <c r="A51" i="1"/>
  <c r="A52" i="1"/>
  <c r="A53" i="1"/>
  <c r="A54" i="1"/>
  <c r="A45" i="1"/>
  <c r="O40" i="1"/>
  <c r="O32" i="1"/>
  <c r="O33" i="1"/>
  <c r="O34" i="1"/>
  <c r="O35" i="1"/>
  <c r="O36" i="1"/>
  <c r="O37" i="1"/>
  <c r="O38" i="1"/>
  <c r="O39" i="1"/>
  <c r="O31" i="1"/>
  <c r="N31" i="1"/>
  <c r="M31" i="1"/>
  <c r="L31" i="1"/>
  <c r="K31" i="1"/>
  <c r="H31" i="1"/>
  <c r="G31" i="1"/>
  <c r="F31" i="1"/>
  <c r="B32" i="1"/>
  <c r="B33" i="1"/>
  <c r="B34" i="1"/>
  <c r="B35" i="1"/>
  <c r="B36" i="1"/>
  <c r="B37" i="1"/>
  <c r="B38" i="1"/>
  <c r="B39" i="1"/>
  <c r="B40" i="1"/>
  <c r="B31" i="1"/>
  <c r="A32" i="1"/>
  <c r="A33" i="1"/>
  <c r="A34" i="1"/>
  <c r="A35" i="1"/>
  <c r="A36" i="1"/>
  <c r="A37" i="1"/>
  <c r="A38" i="1"/>
  <c r="A39" i="1"/>
  <c r="A40" i="1"/>
  <c r="A31" i="1"/>
  <c r="O17" i="1"/>
  <c r="O18" i="1"/>
  <c r="O19" i="1"/>
  <c r="O20" i="1"/>
  <c r="O21" i="1"/>
  <c r="O22" i="1"/>
  <c r="O23" i="1"/>
  <c r="O24" i="1"/>
  <c r="O16" i="1"/>
  <c r="O15" i="1"/>
  <c r="N17" i="1"/>
  <c r="N18" i="1"/>
  <c r="N19" i="1"/>
  <c r="N20" i="1"/>
  <c r="N21" i="1"/>
  <c r="N22" i="1"/>
  <c r="N23" i="1"/>
  <c r="N24" i="1"/>
  <c r="N16" i="1"/>
  <c r="N15" i="1"/>
  <c r="M18" i="1"/>
  <c r="M19" i="1"/>
  <c r="M20" i="1"/>
  <c r="M21" i="1"/>
  <c r="M22" i="1"/>
  <c r="M23" i="1"/>
  <c r="M24" i="1"/>
  <c r="M17" i="1"/>
  <c r="M16" i="1"/>
  <c r="M15" i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15" i="1"/>
  <c r="L15" i="1" s="1"/>
  <c r="H24" i="1"/>
  <c r="H23" i="1"/>
  <c r="H22" i="1"/>
  <c r="H21" i="1"/>
  <c r="H20" i="1"/>
  <c r="H19" i="1"/>
  <c r="H18" i="1"/>
  <c r="H17" i="1"/>
  <c r="H16" i="1"/>
  <c r="H15" i="1"/>
  <c r="G16" i="1"/>
  <c r="G17" i="1"/>
  <c r="G18" i="1"/>
  <c r="G19" i="1"/>
  <c r="G20" i="1"/>
  <c r="G21" i="1"/>
  <c r="G22" i="1"/>
  <c r="G23" i="1"/>
  <c r="G24" i="1"/>
  <c r="G15" i="1"/>
  <c r="F16" i="1"/>
  <c r="F17" i="1"/>
  <c r="F18" i="1"/>
  <c r="F19" i="1"/>
  <c r="F20" i="1"/>
  <c r="F21" i="1"/>
  <c r="F22" i="1"/>
  <c r="F23" i="1"/>
  <c r="F24" i="1"/>
  <c r="F15" i="1"/>
  <c r="A16" i="1"/>
  <c r="A17" i="1"/>
  <c r="A18" i="1"/>
  <c r="A19" i="1"/>
  <c r="A20" i="1"/>
  <c r="A21" i="1"/>
  <c r="A22" i="1"/>
  <c r="A23" i="1"/>
  <c r="A24" i="1"/>
  <c r="A25" i="1"/>
  <c r="A15" i="1"/>
  <c r="E16" i="1" l="1"/>
  <c r="B16" i="1"/>
  <c r="E17" i="1"/>
  <c r="B17" i="1"/>
  <c r="E18" i="1"/>
  <c r="B18" i="1"/>
  <c r="B19" i="1"/>
  <c r="E19" i="1"/>
  <c r="E20" i="1"/>
  <c r="B20" i="1"/>
  <c r="E24" i="1"/>
  <c r="B24" i="1"/>
  <c r="E15" i="1"/>
  <c r="B15" i="1"/>
  <c r="E23" i="1"/>
  <c r="B23" i="1"/>
  <c r="E22" i="1"/>
  <c r="B22" i="1"/>
  <c r="E21" i="1"/>
  <c r="B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<sst xmlns="http://schemas.openxmlformats.org/spreadsheetml/2006/main" count="113" uniqueCount="85">
  <si>
    <t>EMP ID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</si>
  <si>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</si>
  <si>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</si>
  <si>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</si>
  <si>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</si>
  <si>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</si>
  <si>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</si>
  <si>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</si>
  <si>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</si>
  <si>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</si>
  <si>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</si>
  <si>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EMPLOYEE Name</t>
  </si>
  <si>
    <t>departmesnt</t>
  </si>
  <si>
    <t>sales</t>
  </si>
  <si>
    <t>IT</t>
  </si>
  <si>
    <t>city</t>
  </si>
  <si>
    <t>pune</t>
  </si>
  <si>
    <t>mumbai</t>
  </si>
  <si>
    <t>nagpur</t>
  </si>
  <si>
    <t>nashik</t>
  </si>
  <si>
    <t>delhi</t>
  </si>
  <si>
    <t>join date</t>
  </si>
  <si>
    <t>login time</t>
  </si>
  <si>
    <t xml:space="preserve">SALARY </t>
  </si>
  <si>
    <t>target</t>
  </si>
  <si>
    <t>attendence</t>
  </si>
  <si>
    <t>gender</t>
  </si>
  <si>
    <t>male</t>
  </si>
  <si>
    <t>female</t>
  </si>
  <si>
    <t>status</t>
  </si>
  <si>
    <t>Active</t>
  </si>
  <si>
    <t>Inactive</t>
  </si>
  <si>
    <t>QUESTION1</t>
  </si>
  <si>
    <t>QUESTION2</t>
  </si>
  <si>
    <t>QUESTION3</t>
  </si>
  <si>
    <t>QUESTION6</t>
  </si>
  <si>
    <t>QUESTION4</t>
  </si>
  <si>
    <t>QUESTION5</t>
  </si>
  <si>
    <t>QUESTION7</t>
  </si>
  <si>
    <t>QUESTION8</t>
  </si>
  <si>
    <t>QUESTION9</t>
  </si>
  <si>
    <t>QUESTION10</t>
  </si>
  <si>
    <t>Sales</t>
  </si>
  <si>
    <t>HR</t>
  </si>
  <si>
    <t>Finance</t>
  </si>
  <si>
    <t>QUESTIUON11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</si>
  <si>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</si>
  <si>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</si>
  <si>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</si>
  <si>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</si>
  <si>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</si>
  <si>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</si>
  <si>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</si>
  <si>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</si>
  <si>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</si>
  <si>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QUESTION21</t>
  </si>
  <si>
    <t>QUESTION22</t>
  </si>
  <si>
    <t>QUESTION23</t>
  </si>
  <si>
    <t>QUESTION24</t>
  </si>
  <si>
    <t>QUESTION25</t>
  </si>
  <si>
    <t>QUESTION26</t>
  </si>
  <si>
    <t>QUESTION27</t>
  </si>
  <si>
    <t>QUESTION28</t>
  </si>
  <si>
    <t>QUESTION29</t>
  </si>
  <si>
    <t>QUESTION30</t>
  </si>
  <si>
    <t>Rahul</t>
  </si>
  <si>
    <t>Anita</t>
  </si>
  <si>
    <t>Rohit</t>
  </si>
  <si>
    <t>Kumar</t>
  </si>
  <si>
    <t>Neha</t>
  </si>
  <si>
    <t>Patil</t>
  </si>
  <si>
    <t>Amit</t>
  </si>
  <si>
    <t>Shah</t>
  </si>
  <si>
    <t>Priya</t>
  </si>
  <si>
    <t>Joshi</t>
  </si>
  <si>
    <t>Sneha</t>
  </si>
  <si>
    <t>Kulkarni</t>
  </si>
  <si>
    <t>Akash</t>
  </si>
  <si>
    <t>Jain</t>
  </si>
  <si>
    <t>Pooja</t>
  </si>
  <si>
    <t>Verma</t>
  </si>
  <si>
    <t>Sharma</t>
  </si>
  <si>
    <t>singh</t>
  </si>
  <si>
    <t>Karan</t>
  </si>
  <si>
    <t>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</si>
</sst>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C0C1-E9A9-45D4-9BF9-0C867387CA62}">
  <dimension ref="A1:P54"/>
  <sheetViews>
    <sheetView tabSelected="1" workbookViewId="0">
      <selection activeCell="C1" sqref="C1"/>
    </sheetView>
  </sheetViews>
  <sheetFormatPr defaultRowHeight="15" x14ac:dyDescent="0.25"/>
  <cols>
    <col min="1" max="1" width="16.7109375" customWidth="1"/>
    <col min="2" max="4" width="15" customWidth="1"/>
    <col min="5" max="5" width="12.140625" customWidth="1"/>
    <col min="6" max="6" width="20.140625" customWidth="1"/>
    <col min="7" max="7" width="23" customWidth="1"/>
    <col min="8" max="8" width="13.5703125" customWidth="1"/>
    <col min="9" max="9" width="21.85546875" customWidth="1"/>
    <col min="10" max="10" width="33" customWidth="1"/>
    <col min="11" max="11" width="17.7109375" customWidth="1"/>
    <col min="12" max="12" width="15.28515625" customWidth="1"/>
    <col min="13" max="13" width="12.5703125" customWidth="1"/>
    <col min="14" max="14" width="14.5703125" customWidth="1"/>
    <col min="15" max="15" width="22.28515625" customWidth="1"/>
  </cols>
  <sheetData>
    <row r="1" spans="1:16" ht="30" x14ac:dyDescent="0.25">
      <c r="A1" s="2" t="s">
        <v>0</v>
      </c>
      <c r="B1" s="1" t="s">
        <v>11</v>
      </c>
      <c r="C1" s="1"/>
      <c r="D1" s="1"/>
      <c r="E1" s="2" t="s">
        <v>12</v>
      </c>
      <c r="F1" s="2" t="s">
        <v>15</v>
      </c>
      <c r="G1" s="2" t="s">
        <v>21</v>
      </c>
      <c r="H1" s="2" t="s">
        <v>22</v>
      </c>
      <c r="I1" s="2" t="s">
        <v>23</v>
      </c>
      <c r="J1" s="2" t="s">
        <v>13</v>
      </c>
      <c r="K1" s="2" t="s">
        <v>24</v>
      </c>
      <c r="L1" s="2" t="s">
        <v>25</v>
      </c>
      <c r="M1" s="2" t="s">
        <v>26</v>
      </c>
      <c r="N1" s="2" t="s">
        <v>29</v>
      </c>
    </row>
    <row r="2" spans="1:16" x14ac:dyDescent="0.25">
      <c r="A2" s="2" t="s">
        <v>1</v>
      </c>
      <c r="B2" s="6" t="s">
        <v>65</v>
      </c>
      <c r="C2" s="2" t="s">
        <v>81</v>
      </c>
      <c r="D2" s="2"/>
      <c r="E2" s="2" t="s">
        <v>42</v>
      </c>
      <c r="F2" s="2" t="s">
        <v>16</v>
      </c>
      <c r="G2" s="3">
        <v>45303</v>
      </c>
      <c r="H2" s="4">
        <v>0.37847222222222221</v>
      </c>
      <c r="I2" s="2">
        <v>35000</v>
      </c>
      <c r="J2" s="2">
        <v>125000</v>
      </c>
      <c r="K2" s="2">
        <v>100000</v>
      </c>
      <c r="L2" s="2">
        <v>96</v>
      </c>
      <c r="M2" s="2" t="s">
        <v>27</v>
      </c>
      <c r="N2" s="2" t="s">
        <v>30</v>
      </c>
    </row>
    <row r="3" spans="1:16" x14ac:dyDescent="0.25">
      <c r="A3" s="2" t="s">
        <v>2</v>
      </c>
      <c r="B3" s="6" t="s">
        <v>66</v>
      </c>
      <c r="C3" s="2" t="s">
        <v>82</v>
      </c>
      <c r="D3" s="2"/>
      <c r="E3" s="2" t="s">
        <v>43</v>
      </c>
      <c r="F3" s="2" t="s">
        <v>17</v>
      </c>
      <c r="G3" s="3">
        <v>45003</v>
      </c>
      <c r="H3" s="4">
        <v>0.40625</v>
      </c>
      <c r="I3" s="2">
        <v>42000</v>
      </c>
      <c r="J3" s="2">
        <v>0</v>
      </c>
      <c r="K3" s="2">
        <v>0</v>
      </c>
      <c r="L3" s="2">
        <v>88</v>
      </c>
      <c r="M3" s="2" t="s">
        <v>28</v>
      </c>
      <c r="N3" s="2" t="s">
        <v>30</v>
      </c>
    </row>
    <row r="4" spans="1:16" x14ac:dyDescent="0.25">
      <c r="A4" s="2" t="s">
        <v>3</v>
      </c>
      <c r="B4" s="6" t="s">
        <v>67</v>
      </c>
      <c r="C4" s="2" t="s">
        <v>68</v>
      </c>
      <c r="D4" s="2"/>
      <c r="E4" s="2" t="s">
        <v>42</v>
      </c>
      <c r="F4" s="2" t="s">
        <v>16</v>
      </c>
      <c r="G4" s="3">
        <v>45828</v>
      </c>
      <c r="H4" s="4">
        <v>0.39583333333333331</v>
      </c>
      <c r="I4" s="2">
        <v>38000</v>
      </c>
      <c r="J4" s="2">
        <v>98000</v>
      </c>
      <c r="K4" s="2">
        <v>100000</v>
      </c>
      <c r="L4" s="2">
        <v>91</v>
      </c>
      <c r="M4" s="2" t="s">
        <v>27</v>
      </c>
      <c r="N4" s="2" t="s">
        <v>30</v>
      </c>
    </row>
    <row r="5" spans="1:16" x14ac:dyDescent="0.25">
      <c r="A5" s="2" t="s">
        <v>4</v>
      </c>
      <c r="B5" s="6" t="s">
        <v>69</v>
      </c>
      <c r="C5" s="2" t="s">
        <v>70</v>
      </c>
      <c r="D5" s="2"/>
      <c r="E5" s="2" t="s">
        <v>14</v>
      </c>
      <c r="F5" s="2" t="s">
        <v>18</v>
      </c>
      <c r="G5" s="3">
        <v>45337</v>
      </c>
      <c r="H5" s="4">
        <v>0.42708333333333331</v>
      </c>
      <c r="I5" s="2">
        <v>55000</v>
      </c>
      <c r="J5" s="2">
        <v>0</v>
      </c>
      <c r="K5" s="2">
        <v>0</v>
      </c>
      <c r="L5" s="2">
        <v>72</v>
      </c>
      <c r="M5" s="2" t="s">
        <v>28</v>
      </c>
      <c r="N5" s="2" t="s">
        <v>31</v>
      </c>
    </row>
    <row r="6" spans="1:16" x14ac:dyDescent="0.25">
      <c r="A6" s="2" t="s">
        <v>5</v>
      </c>
      <c r="B6" s="6" t="s">
        <v>71</v>
      </c>
      <c r="C6" s="2" t="s">
        <v>72</v>
      </c>
      <c r="D6" s="2"/>
      <c r="E6" s="2" t="s">
        <v>42</v>
      </c>
      <c r="F6" s="2" t="s">
        <v>17</v>
      </c>
      <c r="G6" s="3">
        <v>44676</v>
      </c>
      <c r="H6" s="4">
        <v>0.37152777777777779</v>
      </c>
      <c r="I6" s="2">
        <v>60000</v>
      </c>
      <c r="J6" s="2">
        <v>180000</v>
      </c>
      <c r="K6" s="2">
        <v>150000</v>
      </c>
      <c r="L6" s="2">
        <v>99</v>
      </c>
      <c r="M6" s="2" t="s">
        <v>27</v>
      </c>
      <c r="N6" s="2" t="s">
        <v>30</v>
      </c>
    </row>
    <row r="7" spans="1:16" x14ac:dyDescent="0.25">
      <c r="A7" s="2" t="s">
        <v>6</v>
      </c>
      <c r="B7" s="6" t="s">
        <v>73</v>
      </c>
      <c r="C7" s="2" t="s">
        <v>74</v>
      </c>
      <c r="D7" s="2"/>
      <c r="E7" s="2" t="s">
        <v>44</v>
      </c>
      <c r="F7" s="2" t="s">
        <v>19</v>
      </c>
      <c r="G7" s="3">
        <v>45143</v>
      </c>
      <c r="H7" s="4">
        <v>0.38194444444444442</v>
      </c>
      <c r="I7" s="2">
        <v>45000</v>
      </c>
      <c r="J7" s="2">
        <v>0</v>
      </c>
      <c r="K7" s="2">
        <v>0</v>
      </c>
      <c r="L7" s="2">
        <v>90</v>
      </c>
      <c r="M7" s="2" t="s">
        <v>28</v>
      </c>
      <c r="N7" s="2" t="s">
        <v>30</v>
      </c>
    </row>
    <row r="8" spans="1:16" x14ac:dyDescent="0.25">
      <c r="A8" s="2" t="s">
        <v>7</v>
      </c>
      <c r="B8" s="6" t="s">
        <v>83</v>
      </c>
      <c r="C8" s="2" t="s">
        <v>84</v>
      </c>
      <c r="D8" s="2"/>
      <c r="E8" s="2" t="s">
        <v>42</v>
      </c>
      <c r="F8" s="2" t="s">
        <v>16</v>
      </c>
      <c r="G8" s="3">
        <v>45626</v>
      </c>
      <c r="H8" s="4">
        <v>0.3888888888888889</v>
      </c>
      <c r="I8" s="2">
        <v>40000</v>
      </c>
      <c r="J8" s="2">
        <v>150000</v>
      </c>
      <c r="K8" s="2">
        <v>120000</v>
      </c>
      <c r="L8" s="2">
        <v>85</v>
      </c>
      <c r="M8" s="2" t="s">
        <v>27</v>
      </c>
      <c r="N8" s="2" t="s">
        <v>30</v>
      </c>
    </row>
    <row r="9" spans="1:16" x14ac:dyDescent="0.25">
      <c r="A9" s="2" t="s">
        <v>8</v>
      </c>
      <c r="B9" s="6" t="s">
        <v>75</v>
      </c>
      <c r="C9" s="2" t="s">
        <v>76</v>
      </c>
      <c r="D9" s="2"/>
      <c r="E9" s="2" t="s">
        <v>14</v>
      </c>
      <c r="F9" s="2" t="s">
        <v>16</v>
      </c>
      <c r="G9" s="3">
        <v>45789</v>
      </c>
      <c r="H9" s="4">
        <v>0.40277777777777779</v>
      </c>
      <c r="I9" s="2">
        <v>50000</v>
      </c>
      <c r="J9" s="2">
        <v>0</v>
      </c>
      <c r="K9" s="2">
        <v>0</v>
      </c>
      <c r="L9" s="2">
        <v>80</v>
      </c>
      <c r="M9" s="2" t="s">
        <v>28</v>
      </c>
      <c r="N9" s="2" t="s">
        <v>30</v>
      </c>
    </row>
    <row r="10" spans="1:16" x14ac:dyDescent="0.25">
      <c r="A10" s="2" t="s">
        <v>9</v>
      </c>
      <c r="B10" s="6" t="s">
        <v>77</v>
      </c>
      <c r="C10" s="2" t="s">
        <v>78</v>
      </c>
      <c r="D10" s="2"/>
      <c r="E10" s="2" t="s">
        <v>42</v>
      </c>
      <c r="F10" s="2" t="s">
        <v>20</v>
      </c>
      <c r="G10" s="3">
        <v>45481</v>
      </c>
      <c r="H10" s="4">
        <v>0.3923611111111111</v>
      </c>
      <c r="I10" s="2">
        <v>47000</v>
      </c>
      <c r="J10" s="2">
        <v>90000</v>
      </c>
      <c r="K10" s="2">
        <v>100000</v>
      </c>
      <c r="L10" s="2">
        <v>78</v>
      </c>
      <c r="M10" s="2" t="s">
        <v>27</v>
      </c>
      <c r="N10" s="2" t="s">
        <v>30</v>
      </c>
    </row>
    <row r="11" spans="1:16" x14ac:dyDescent="0.25">
      <c r="A11" s="2" t="s">
        <v>10</v>
      </c>
      <c r="B11" s="6" t="s">
        <v>79</v>
      </c>
      <c r="C11" s="2" t="s">
        <v>80</v>
      </c>
      <c r="D11" s="2"/>
      <c r="E11" s="2" t="s">
        <v>43</v>
      </c>
      <c r="F11" s="2" t="s">
        <v>16</v>
      </c>
      <c r="G11" s="3">
        <v>45215</v>
      </c>
      <c r="H11" s="4">
        <v>0.38541666666666669</v>
      </c>
      <c r="I11" s="2">
        <v>43000</v>
      </c>
      <c r="J11" s="2">
        <v>0</v>
      </c>
      <c r="K11" s="2">
        <v>0</v>
      </c>
      <c r="L11" s="2">
        <v>95</v>
      </c>
      <c r="M11" s="2" t="s">
        <v>28</v>
      </c>
      <c r="N11" s="2" t="s">
        <v>30</v>
      </c>
    </row>
    <row r="14" spans="1:16" x14ac:dyDescent="0.25">
      <c r="A14" s="2" t="s">
        <v>32</v>
      </c>
      <c r="B14" s="2" t="s">
        <v>33</v>
      </c>
      <c r="C14" s="2"/>
      <c r="D14" s="2"/>
      <c r="E14" s="2" t="s">
        <v>34</v>
      </c>
      <c r="F14" s="2" t="s">
        <v>36</v>
      </c>
      <c r="G14" s="2" t="s">
        <v>37</v>
      </c>
      <c r="H14" s="2" t="s">
        <v>35</v>
      </c>
      <c r="I14" s="2" t="s">
        <v>38</v>
      </c>
      <c r="J14" s="2" t="s">
        <v>39</v>
      </c>
      <c r="K14" s="2" t="s">
        <v>40</v>
      </c>
      <c r="L14" s="2" t="s">
        <v>40</v>
      </c>
      <c r="M14" s="2" t="s">
        <v>41</v>
      </c>
      <c r="N14" s="2" t="s">
        <v>45</v>
      </c>
      <c r="O14" s="2" t="s">
        <v>46</v>
      </c>
      <c r="P14" s="2"/>
    </row>
    <row r="15" spans="1:16" x14ac:dyDescent="0.25">
      <c r="A15" s="2" t="str">
        <f>PROPER(B2)</f>
        <v>Rahul</v>
      </c>
      <c r="B15" s="2" t="str">
        <f>LEFT(A15,5)</f>
        <v>Rahul</v>
      </c>
      <c r="C15" s="2"/>
      <c r="D15" s="2"/>
      <c r="E15" s="2" t="str">
        <f>RIGHT(A15,7)</f>
        <v>Rahul</v>
      </c>
      <c r="F15" s="2" t="str">
        <f>UPPER(F2)</f>
        <v>PUNE</v>
      </c>
      <c r="G15" s="2" t="str">
        <f>LEFT(E2,3)</f>
        <v>Sal</v>
      </c>
      <c r="H15" s="2">
        <f>LEN(B2)</f>
        <v>5</v>
      </c>
      <c r="I15" s="2" t="str">
        <f>_xlfn.CONCAT(B2,"(",J2,")")</f>
        <v>Rahul(125000)</v>
      </c>
      <c r="J15" s="5" t="str">
        <f>_xlfn.CONCAT(B2,".",C2,"@dreamwithdata.com")</f>
        <v>Rahul.Sharma@dreamwithdata.com</v>
      </c>
      <c r="K15" s="2" t="str">
        <f>TEXT(G2,"YYYY")</f>
        <v>2024</v>
      </c>
      <c r="L15" s="2">
        <f t="shared" ref="L15:L24" si="0">2026-K15</f>
        <v>2</v>
      </c>
      <c r="M15" s="2" t="str">
        <f>TEXT(G2,"MMMM")</f>
        <v>January</v>
      </c>
      <c r="N15" s="2" t="str">
        <f>TEXT(G2,"DDDD")</f>
        <v>Friday</v>
      </c>
      <c r="O15" s="2">
        <f ca="1">TODAY()-G2</f>
        <v>906</v>
      </c>
    </row>
    <row r="16" spans="1:16" x14ac:dyDescent="0.25">
      <c r="A16" s="2" t="str">
        <f>PROPER(B3)</f>
        <v>Anita</v>
      </c>
      <c r="B16" s="2" t="str">
        <f>LEFT(A16,5)</f>
        <v>Anita</v>
      </c>
      <c r="C16" s="2"/>
      <c r="D16" s="2"/>
      <c r="E16" s="2" t="str">
        <f>RIGHT(A16,5)</f>
        <v>Anita</v>
      </c>
      <c r="F16" s="2" t="str">
        <f t="shared" ref="F16:F24" si="1">UPPER(F3)</f>
        <v>MUMBAI</v>
      </c>
      <c r="G16" s="2" t="str">
        <f t="shared" ref="G16:G24" si="2">LEFT(E3,3)</f>
        <v>HR</v>
      </c>
      <c r="H16" s="2">
        <f>LEN(B3)</f>
        <v>5</v>
      </c>
      <c r="I16" s="2" t="str">
        <f>_xlfn.CONCAT(B3,"(",J3,")")</f>
        <v>Anita(0)</v>
      </c>
      <c r="J16" s="5" t="str">
        <f t="shared" ref="J16:J24" si="3">_xlfn.CONCAT(B3,".",C3,"@dreamwithdata.com")</f>
        <v>Anita.singh@dreamwithdata.com</v>
      </c>
      <c r="K16" s="2" t="str">
        <f t="shared" ref="K16:K24" si="4">TEXT(G3,"YYYY")</f>
        <v>2023</v>
      </c>
      <c r="L16" s="2">
        <f t="shared" si="0"/>
        <v>3</v>
      </c>
      <c r="M16" s="2" t="str">
        <f>TEXT(G3,"MMMM")</f>
        <v>March</v>
      </c>
      <c r="N16" s="2" t="str">
        <f>TEXT(G3,"DDDD")</f>
        <v>Saturday</v>
      </c>
      <c r="O16" s="2">
        <f ca="1">TODAY()-G3</f>
        <v>1206</v>
      </c>
    </row>
    <row r="17" spans="1:15" x14ac:dyDescent="0.25">
      <c r="A17" s="2" t="str">
        <f>PROPER(B4)</f>
        <v>Rohit</v>
      </c>
      <c r="B17" s="2" t="str">
        <f>LEFT(A17,5)</f>
        <v>Rohit</v>
      </c>
      <c r="C17" s="2"/>
      <c r="D17" s="2"/>
      <c r="E17" s="2" t="str">
        <f>RIGHT(A17,5)</f>
        <v>Rohit</v>
      </c>
      <c r="F17" s="2" t="str">
        <f t="shared" si="1"/>
        <v>PUNE</v>
      </c>
      <c r="G17" s="2" t="str">
        <f t="shared" si="2"/>
        <v>Sal</v>
      </c>
      <c r="H17" s="2">
        <f>LEN(B4)</f>
        <v>5</v>
      </c>
      <c r="I17" s="2" t="str">
        <f>_xlfn.CONCAT(B4,"(",J4,")")</f>
        <v>Rohit(98000)</v>
      </c>
      <c r="J17" s="5" t="str">
        <f t="shared" si="3"/>
        <v>Rohit.Kumar@dreamwithdata.com</v>
      </c>
      <c r="K17" s="2" t="str">
        <f t="shared" si="4"/>
        <v>2025</v>
      </c>
      <c r="L17" s="2">
        <f t="shared" si="0"/>
        <v>1</v>
      </c>
      <c r="M17" s="2" t="str">
        <f>TEXT(G4,"MMMM")</f>
        <v>June</v>
      </c>
      <c r="N17" s="2" t="str">
        <f t="shared" ref="N17:N24" si="5">TEXT(G4,"DDDD")</f>
        <v>Friday</v>
      </c>
      <c r="O17" s="2">
        <f t="shared" ref="O17:O24" ca="1" si="6">TODAY()-G4</f>
        <v>381</v>
      </c>
    </row>
    <row r="18" spans="1:15" x14ac:dyDescent="0.25">
      <c r="A18" s="2" t="str">
        <f>PROPER(B5)</f>
        <v>Neha</v>
      </c>
      <c r="B18" s="2" t="str">
        <f>LEFT(A18,4)</f>
        <v>Neha</v>
      </c>
      <c r="C18" s="2"/>
      <c r="D18" s="2"/>
      <c r="E18" s="2" t="str">
        <f>RIGHT(A18,5)</f>
        <v>Neha</v>
      </c>
      <c r="F18" s="2" t="str">
        <f t="shared" si="1"/>
        <v>NAGPUR</v>
      </c>
      <c r="G18" s="2" t="str">
        <f t="shared" si="2"/>
        <v>IT</v>
      </c>
      <c r="H18" s="2">
        <f>LEN(B5)</f>
        <v>4</v>
      </c>
      <c r="I18" s="2" t="str">
        <f>_xlfn.CONCAT(B5,"(",J5,")")</f>
        <v>Neha(0)</v>
      </c>
      <c r="J18" s="5" t="str">
        <f t="shared" si="3"/>
        <v>Neha.Patil@dreamwithdata.com</v>
      </c>
      <c r="K18" s="2" t="str">
        <f t="shared" si="4"/>
        <v>2024</v>
      </c>
      <c r="L18" s="2">
        <f t="shared" si="0"/>
        <v>2</v>
      </c>
      <c r="M18" s="2" t="str">
        <f t="shared" ref="M18:M24" si="7">TEXT(G5,"MMMM")</f>
        <v>February</v>
      </c>
      <c r="N18" s="2" t="str">
        <f t="shared" si="5"/>
        <v>Thursday</v>
      </c>
      <c r="O18" s="2">
        <f t="shared" ca="1" si="6"/>
        <v>872</v>
      </c>
    </row>
    <row r="19" spans="1:15" x14ac:dyDescent="0.25">
      <c r="A19" s="2" t="str">
        <f>PROPER(B6)</f>
        <v>Amit</v>
      </c>
      <c r="B19" s="2" t="str">
        <f>LEFT(A19,4)</f>
        <v>Amit</v>
      </c>
      <c r="C19" s="2"/>
      <c r="D19" s="2"/>
      <c r="E19" s="2" t="str">
        <f>RIGHT(A19,4)</f>
        <v>Amit</v>
      </c>
      <c r="F19" s="2" t="str">
        <f t="shared" si="1"/>
        <v>MUMBAI</v>
      </c>
      <c r="G19" s="2" t="str">
        <f t="shared" si="2"/>
        <v>Sal</v>
      </c>
      <c r="H19" s="2">
        <f>LEN(B6)</f>
        <v>4</v>
      </c>
      <c r="I19" s="2" t="str">
        <f>_xlfn.CONCAT(B6,"(",J6,")")</f>
        <v>Amit(180000)</v>
      </c>
      <c r="J19" s="5" t="str">
        <f t="shared" si="3"/>
        <v>Amit.Shah@dreamwithdata.com</v>
      </c>
      <c r="K19" s="2" t="str">
        <f t="shared" si="4"/>
        <v>2022</v>
      </c>
      <c r="L19" s="2">
        <f t="shared" si="0"/>
        <v>4</v>
      </c>
      <c r="M19" s="2" t="str">
        <f t="shared" si="7"/>
        <v>April</v>
      </c>
      <c r="N19" s="2" t="str">
        <f t="shared" si="5"/>
        <v>Monday</v>
      </c>
      <c r="O19" s="2">
        <f t="shared" ca="1" si="6"/>
        <v>1533</v>
      </c>
    </row>
    <row r="20" spans="1:15" x14ac:dyDescent="0.25">
      <c r="A20" s="2" t="str">
        <f>PROPER(B7)</f>
        <v>Priya</v>
      </c>
      <c r="B20" s="2" t="str">
        <f>LEFT(A20,5)</f>
        <v>Priya</v>
      </c>
      <c r="C20" s="2"/>
      <c r="D20" s="2"/>
      <c r="E20" s="2" t="str">
        <f>RIGHT(A20,5)</f>
        <v>Priya</v>
      </c>
      <c r="F20" s="2" t="str">
        <f t="shared" si="1"/>
        <v>NASHIK</v>
      </c>
      <c r="G20" s="2" t="str">
        <f t="shared" si="2"/>
        <v>Fin</v>
      </c>
      <c r="H20" s="2">
        <f>LEN(B7)</f>
        <v>5</v>
      </c>
      <c r="I20" s="2" t="str">
        <f>_xlfn.CONCAT(B7,"(",J7,")")</f>
        <v>Priya(0)</v>
      </c>
      <c r="J20" s="5" t="str">
        <f t="shared" si="3"/>
        <v>Priya.Joshi@dreamwithdata.com</v>
      </c>
      <c r="K20" s="2" t="str">
        <f t="shared" si="4"/>
        <v>2023</v>
      </c>
      <c r="L20" s="2">
        <f t="shared" si="0"/>
        <v>3</v>
      </c>
      <c r="M20" s="2" t="str">
        <f t="shared" si="7"/>
        <v>August</v>
      </c>
      <c r="N20" s="2" t="str">
        <f t="shared" si="5"/>
        <v>Saturday</v>
      </c>
      <c r="O20" s="2">
        <f t="shared" ca="1" si="6"/>
        <v>1066</v>
      </c>
    </row>
    <row r="21" spans="1:15" x14ac:dyDescent="0.25">
      <c r="A21" s="2" t="str">
        <f>PROPER(B8)</f>
        <v>Karan</v>
      </c>
      <c r="B21" s="2" t="str">
        <f>LEFT(A21,5)</f>
        <v>Karan</v>
      </c>
      <c r="C21" s="2"/>
      <c r="D21" s="2"/>
      <c r="E21" s="2" t="str">
        <f>RIGHT(A21,4)</f>
        <v>aran</v>
      </c>
      <c r="F21" s="2" t="str">
        <f t="shared" si="1"/>
        <v>PUNE</v>
      </c>
      <c r="G21" s="2" t="str">
        <f t="shared" si="2"/>
        <v>Sal</v>
      </c>
      <c r="H21" s="2">
        <f>LEN(B8)</f>
        <v>5</v>
      </c>
      <c r="I21" s="2" t="str">
        <f>_xlfn.CONCAT(B8,"(",J8,")")</f>
        <v>Karan(150000)</v>
      </c>
      <c r="J21" s="5" t="str">
        <f t="shared" si="3"/>
        <v>Karan.More@dreamwithdata.com</v>
      </c>
      <c r="K21" s="2" t="str">
        <f t="shared" si="4"/>
        <v>2024</v>
      </c>
      <c r="L21" s="2">
        <f t="shared" si="0"/>
        <v>2</v>
      </c>
      <c r="M21" s="2" t="str">
        <f t="shared" si="7"/>
        <v>November</v>
      </c>
      <c r="N21" s="2" t="str">
        <f t="shared" si="5"/>
        <v>Saturday</v>
      </c>
      <c r="O21" s="2">
        <f t="shared" ca="1" si="6"/>
        <v>583</v>
      </c>
    </row>
    <row r="22" spans="1:15" x14ac:dyDescent="0.25">
      <c r="A22" s="2" t="str">
        <f>PROPER(B9)</f>
        <v>Sneha</v>
      </c>
      <c r="B22" s="2" t="str">
        <f>LEFT(A22,5)</f>
        <v>Sneha</v>
      </c>
      <c r="C22" s="2"/>
      <c r="D22" s="2"/>
      <c r="E22" s="2" t="str">
        <f>RIGHT(A22,8)</f>
        <v>Sneha</v>
      </c>
      <c r="F22" s="2" t="str">
        <f t="shared" si="1"/>
        <v>PUNE</v>
      </c>
      <c r="G22" s="2" t="str">
        <f t="shared" si="2"/>
        <v>IT</v>
      </c>
      <c r="H22" s="2">
        <f>LEN(B9)</f>
        <v>5</v>
      </c>
      <c r="I22" s="2" t="str">
        <f>_xlfn.CONCAT(B9,"(",J9,")")</f>
        <v>Sneha(0)</v>
      </c>
      <c r="J22" s="5" t="str">
        <f t="shared" si="3"/>
        <v>Sneha.Kulkarni@dreamwithdata.com</v>
      </c>
      <c r="K22" s="2" t="str">
        <f t="shared" si="4"/>
        <v>2025</v>
      </c>
      <c r="L22" s="2">
        <f t="shared" si="0"/>
        <v>1</v>
      </c>
      <c r="M22" s="2" t="str">
        <f t="shared" si="7"/>
        <v>May</v>
      </c>
      <c r="N22" s="2" t="str">
        <f t="shared" si="5"/>
        <v>Monday</v>
      </c>
      <c r="O22" s="2">
        <f t="shared" ca="1" si="6"/>
        <v>420</v>
      </c>
    </row>
    <row r="23" spans="1:15" x14ac:dyDescent="0.25">
      <c r="A23" s="2" t="str">
        <f>PROPER(B10)</f>
        <v>Akash</v>
      </c>
      <c r="B23" s="2" t="str">
        <f>LEFT(A23,5)</f>
        <v>Akash</v>
      </c>
      <c r="C23" s="2"/>
      <c r="D23" s="2"/>
      <c r="E23" s="2" t="str">
        <f>RIGHT(A23,4)</f>
        <v>kash</v>
      </c>
      <c r="F23" s="2" t="str">
        <f t="shared" si="1"/>
        <v>DELHI</v>
      </c>
      <c r="G23" s="2" t="str">
        <f t="shared" si="2"/>
        <v>Sal</v>
      </c>
      <c r="H23" s="2">
        <f>LEN(B10)</f>
        <v>5</v>
      </c>
      <c r="I23" s="2" t="str">
        <f>_xlfn.CONCAT(B10,"(",J10,")")</f>
        <v>Akash(90000)</v>
      </c>
      <c r="J23" s="5" t="str">
        <f t="shared" si="3"/>
        <v>Akash.Jain@dreamwithdata.com</v>
      </c>
      <c r="K23" s="2" t="str">
        <f t="shared" si="4"/>
        <v>2024</v>
      </c>
      <c r="L23" s="2">
        <f t="shared" si="0"/>
        <v>2</v>
      </c>
      <c r="M23" s="2" t="str">
        <f t="shared" si="7"/>
        <v>July</v>
      </c>
      <c r="N23" s="2" t="str">
        <f t="shared" si="5"/>
        <v>Monday</v>
      </c>
      <c r="O23" s="2">
        <f t="shared" ca="1" si="6"/>
        <v>728</v>
      </c>
    </row>
    <row r="24" spans="1:15" x14ac:dyDescent="0.25">
      <c r="A24" s="2" t="str">
        <f>PROPER(B11)</f>
        <v>Pooja</v>
      </c>
      <c r="B24" s="2" t="str">
        <f>LEFT(A24,5)</f>
        <v>Pooja</v>
      </c>
      <c r="C24" s="2"/>
      <c r="D24" s="2"/>
      <c r="E24" s="2" t="str">
        <f>RIGHT(A24,5)</f>
        <v>Pooja</v>
      </c>
      <c r="F24" s="2" t="str">
        <f t="shared" si="1"/>
        <v>PUNE</v>
      </c>
      <c r="G24" s="2" t="str">
        <f t="shared" si="2"/>
        <v>HR</v>
      </c>
      <c r="H24" s="2">
        <f>LEN(B11)</f>
        <v>5</v>
      </c>
      <c r="I24" s="2" t="str">
        <f>_xlfn.CONCAT(B11,"(",J11,")")</f>
        <v>Pooja(0)</v>
      </c>
      <c r="J24" s="5" t="str">
        <f t="shared" si="3"/>
        <v>Pooja.Verma@dreamwithdata.com</v>
      </c>
      <c r="K24" s="2" t="str">
        <f t="shared" si="4"/>
        <v>2023</v>
      </c>
      <c r="L24" s="2">
        <f t="shared" si="0"/>
        <v>3</v>
      </c>
      <c r="M24" s="2" t="str">
        <f t="shared" si="7"/>
        <v>October</v>
      </c>
      <c r="N24" s="2" t="str">
        <f t="shared" si="5"/>
        <v>Monday</v>
      </c>
      <c r="O24" s="2">
        <f t="shared" ca="1" si="6"/>
        <v>994</v>
      </c>
    </row>
    <row r="25" spans="1:15" x14ac:dyDescent="0.25">
      <c r="A25" t="str">
        <f t="shared" ref="A25" si="8">PROPER(B12)</f>
        <v/>
      </c>
      <c r="I25" s="2"/>
      <c r="N25" s="2"/>
    </row>
    <row r="30" spans="1:15" x14ac:dyDescent="0.25">
      <c r="A30" t="s">
        <v>47</v>
      </c>
      <c r="B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55</v>
      </c>
      <c r="L30" t="s">
        <v>56</v>
      </c>
      <c r="M30" t="s">
        <v>57</v>
      </c>
      <c r="N30" t="s">
        <v>58</v>
      </c>
      <c r="O30" t="s">
        <v>59</v>
      </c>
    </row>
    <row r="31" spans="1:15" x14ac:dyDescent="0.25">
      <c r="A31" s="2">
        <f>HOUR(H2)</f>
        <v>9</v>
      </c>
      <c r="B31" s="2">
        <f>MINUTE(H2)</f>
        <v>5</v>
      </c>
      <c r="C31" s="2"/>
      <c r="D31" s="2"/>
      <c r="E31" s="2" t="str">
        <f>TEXT(H2,"HH:MM")</f>
        <v>09:05</v>
      </c>
      <c r="F31" s="2">
        <f>COUNTA(B2:B11)</f>
        <v>10</v>
      </c>
      <c r="G31" s="2">
        <f>COUNTIF(F2:F11,"PUNE")</f>
        <v>5</v>
      </c>
      <c r="H31" s="2">
        <f>COUNTIF(M2:M11,"FEMALE")</f>
        <v>5</v>
      </c>
      <c r="I31" s="2">
        <f>COUNTIF(I2:I11,"&gt;45000")</f>
        <v>4</v>
      </c>
      <c r="J31" s="2">
        <f>COUNTIFS(F2:F11,"PUNE",N2:N11,"ACTIVE")</f>
        <v>5</v>
      </c>
      <c r="K31" s="2">
        <f>SUM(I2:I11)</f>
        <v>455000</v>
      </c>
      <c r="L31" s="2">
        <f>AVERAGE(I2:I11)</f>
        <v>45500</v>
      </c>
      <c r="M31" s="2">
        <f>MAX(J2:J11)</f>
        <v>180000</v>
      </c>
      <c r="N31" s="2">
        <f>MIN(I2:I11)</f>
        <v>35000</v>
      </c>
      <c r="O31" s="2" t="str">
        <f>IF(L2&gt;=80,"PRESENT","NEDDS IMPROVEMENT")</f>
        <v>PRESENT</v>
      </c>
    </row>
    <row r="32" spans="1:15" x14ac:dyDescent="0.25">
      <c r="A32" s="2">
        <f t="shared" ref="A32:A40" si="9">HOUR(H3)</f>
        <v>9</v>
      </c>
      <c r="B32" s="2">
        <f t="shared" ref="B32:B40" si="10">MINUTE(H3)</f>
        <v>45</v>
      </c>
      <c r="C32" s="2"/>
      <c r="D32" s="2"/>
      <c r="E32" s="2" t="str">
        <f>TEXT(H3,"HH:MM")</f>
        <v>09:45</v>
      </c>
      <c r="F32" s="2"/>
      <c r="G32" s="2"/>
      <c r="H32" s="2"/>
      <c r="I32" s="2"/>
      <c r="J32" s="2"/>
      <c r="K32" s="2"/>
      <c r="L32" s="2"/>
      <c r="M32" s="2"/>
      <c r="N32" s="2"/>
      <c r="O32" s="2" t="str">
        <f t="shared" ref="O32:O39" si="11">IF(L3&gt;=80,"PRESENT","NEDDS IMPROVEMENT")</f>
        <v>PRESENT</v>
      </c>
    </row>
    <row r="33" spans="1:15" x14ac:dyDescent="0.25">
      <c r="A33" s="2">
        <f t="shared" si="9"/>
        <v>9</v>
      </c>
      <c r="B33" s="2">
        <f t="shared" si="10"/>
        <v>30</v>
      </c>
      <c r="C33" s="2"/>
      <c r="D33" s="2"/>
      <c r="E33" s="2" t="str">
        <f t="shared" ref="E33:E40" si="12">TEXT(H4,"HH:MM")</f>
        <v>09:30</v>
      </c>
      <c r="F33" s="2"/>
      <c r="G33" s="2"/>
      <c r="H33" s="2"/>
      <c r="I33" s="2"/>
      <c r="J33" s="2"/>
      <c r="K33" s="2"/>
      <c r="L33" s="2"/>
      <c r="M33" s="2"/>
      <c r="N33" s="2"/>
      <c r="O33" s="2" t="str">
        <f t="shared" si="11"/>
        <v>PRESENT</v>
      </c>
    </row>
    <row r="34" spans="1:15" x14ac:dyDescent="0.25">
      <c r="A34" s="2">
        <f t="shared" si="9"/>
        <v>10</v>
      </c>
      <c r="B34" s="2">
        <f t="shared" si="10"/>
        <v>15</v>
      </c>
      <c r="C34" s="2"/>
      <c r="D34" s="2"/>
      <c r="E34" s="2" t="str">
        <f t="shared" si="12"/>
        <v>10:15</v>
      </c>
      <c r="F34" s="2"/>
      <c r="G34" s="2"/>
      <c r="H34" s="4"/>
      <c r="I34" s="2"/>
      <c r="J34" s="2"/>
      <c r="K34" s="2"/>
      <c r="L34" s="2"/>
      <c r="M34" s="2"/>
      <c r="N34" s="2"/>
      <c r="O34" s="2" t="str">
        <f t="shared" si="11"/>
        <v>NEDDS IMPROVEMENT</v>
      </c>
    </row>
    <row r="35" spans="1:15" x14ac:dyDescent="0.25">
      <c r="A35" s="2">
        <f t="shared" si="9"/>
        <v>8</v>
      </c>
      <c r="B35" s="2">
        <f t="shared" si="10"/>
        <v>55</v>
      </c>
      <c r="C35" s="2"/>
      <c r="D35" s="2"/>
      <c r="E35" s="2" t="str">
        <f t="shared" si="12"/>
        <v>08:55</v>
      </c>
      <c r="F35" s="2"/>
      <c r="G35" s="2"/>
      <c r="H35" s="2"/>
      <c r="I35" s="2"/>
      <c r="J35" s="2"/>
      <c r="K35" s="2"/>
      <c r="L35" s="2"/>
      <c r="M35" s="2"/>
      <c r="N35" s="2"/>
      <c r="O35" s="2" t="str">
        <f t="shared" si="11"/>
        <v>PRESENT</v>
      </c>
    </row>
    <row r="36" spans="1:15" x14ac:dyDescent="0.25">
      <c r="A36" s="2">
        <f t="shared" si="9"/>
        <v>9</v>
      </c>
      <c r="B36" s="2">
        <f t="shared" si="10"/>
        <v>10</v>
      </c>
      <c r="C36" s="2"/>
      <c r="D36" s="2"/>
      <c r="E36" s="2" t="str">
        <f t="shared" si="12"/>
        <v>09:10</v>
      </c>
      <c r="F36" s="2"/>
      <c r="G36" s="2"/>
      <c r="H36" s="2"/>
      <c r="I36" s="2"/>
      <c r="J36" s="2"/>
      <c r="K36" s="2"/>
      <c r="L36" s="2"/>
      <c r="M36" s="2"/>
      <c r="N36" s="2"/>
      <c r="O36" s="2" t="str">
        <f t="shared" si="11"/>
        <v>PRESENT</v>
      </c>
    </row>
    <row r="37" spans="1:15" x14ac:dyDescent="0.25">
      <c r="A37" s="2">
        <f t="shared" si="9"/>
        <v>9</v>
      </c>
      <c r="B37" s="2">
        <f t="shared" si="10"/>
        <v>20</v>
      </c>
      <c r="C37" s="2"/>
      <c r="D37" s="2"/>
      <c r="E37" s="2" t="str">
        <f t="shared" si="12"/>
        <v>09:20</v>
      </c>
      <c r="F37" s="2"/>
      <c r="G37" s="2"/>
      <c r="H37" s="2"/>
      <c r="I37" s="2"/>
      <c r="J37" s="2"/>
      <c r="K37" s="2"/>
      <c r="L37" s="2"/>
      <c r="M37" s="2"/>
      <c r="N37" s="2"/>
      <c r="O37" s="2" t="str">
        <f t="shared" si="11"/>
        <v>PRESENT</v>
      </c>
    </row>
    <row r="38" spans="1:15" x14ac:dyDescent="0.25">
      <c r="A38" s="2">
        <f t="shared" si="9"/>
        <v>9</v>
      </c>
      <c r="B38" s="2">
        <f t="shared" si="10"/>
        <v>40</v>
      </c>
      <c r="C38" s="2"/>
      <c r="D38" s="2"/>
      <c r="E38" s="2" t="str">
        <f t="shared" si="12"/>
        <v>09:40</v>
      </c>
      <c r="F38" s="2"/>
      <c r="G38" s="2"/>
      <c r="H38" s="2"/>
      <c r="I38" s="2"/>
      <c r="J38" s="2"/>
      <c r="K38" s="2"/>
      <c r="L38" s="2"/>
      <c r="M38" s="2"/>
      <c r="N38" s="2"/>
      <c r="O38" s="2" t="str">
        <f t="shared" si="11"/>
        <v>PRESENT</v>
      </c>
    </row>
    <row r="39" spans="1:15" x14ac:dyDescent="0.25">
      <c r="A39" s="2">
        <f t="shared" si="9"/>
        <v>9</v>
      </c>
      <c r="B39" s="2">
        <f t="shared" si="10"/>
        <v>25</v>
      </c>
      <c r="C39" s="2"/>
      <c r="D39" s="2"/>
      <c r="E39" s="2" t="str">
        <f t="shared" si="12"/>
        <v>09:25</v>
      </c>
      <c r="F39" s="2"/>
      <c r="G39" s="2"/>
      <c r="H39" s="2"/>
      <c r="I39" s="2"/>
      <c r="J39" s="2"/>
      <c r="K39" s="2"/>
      <c r="L39" s="2"/>
      <c r="M39" s="2"/>
      <c r="N39" s="2"/>
      <c r="O39" s="2" t="str">
        <f t="shared" si="11"/>
        <v>NEDDS IMPROVEMENT</v>
      </c>
    </row>
    <row r="40" spans="1:15" x14ac:dyDescent="0.25">
      <c r="A40" s="2">
        <f t="shared" si="9"/>
        <v>9</v>
      </c>
      <c r="B40" s="2">
        <f t="shared" si="10"/>
        <v>15</v>
      </c>
      <c r="C40" s="2"/>
      <c r="D40" s="2"/>
      <c r="E40" s="2" t="str">
        <f t="shared" si="12"/>
        <v>09:15</v>
      </c>
      <c r="F40" s="2"/>
      <c r="G40" s="2"/>
      <c r="H40" s="2"/>
      <c r="I40" s="2"/>
      <c r="J40" s="2"/>
      <c r="K40" s="2"/>
      <c r="L40" s="2"/>
      <c r="M40" s="2"/>
      <c r="N40" s="2"/>
      <c r="O40" s="2" t="str">
        <f>IF(L11&gt;=80,"PRESENT","NEDDS IMPROVEMENT")</f>
        <v>PRESENT</v>
      </c>
    </row>
    <row r="44" spans="1:15" x14ac:dyDescent="0.25">
      <c r="A44" t="s">
        <v>60</v>
      </c>
      <c r="B44" t="s">
        <v>61</v>
      </c>
      <c r="E44" t="s">
        <v>62</v>
      </c>
      <c r="F44" t="s">
        <v>63</v>
      </c>
      <c r="G44" t="s">
        <v>64</v>
      </c>
    </row>
    <row r="45" spans="1:15" x14ac:dyDescent="0.25">
      <c r="A45" s="2" t="str">
        <f>IF(J2&gt;=100000,"TARGET ACHIEVED","TARGET MISSED")</f>
        <v>TARGET ACHIEVED</v>
      </c>
      <c r="B45" s="2" t="str" cm="1">
        <f t="array" ref="B45">_xlfn.IFS(I2&gt;=60000,"A+",I2&gt;=50000,"A",I2&gt;=45000,"B",I2&gt;=40000,"C",I2&lt;40000,"D")</f>
        <v>D</v>
      </c>
      <c r="C45" s="2"/>
      <c r="D45" s="2"/>
      <c r="E45" s="2" t="str">
        <f>IF(J2&gt;=150000,"EXCELLENT",IF(J2&gt;=100000,"GOOD",IF(J2&gt;=50000,"AVARAGE",IF(J2&lt;50000,"POOR"))))</f>
        <v>GOOD</v>
      </c>
      <c r="F45" s="2" t="str">
        <f>IF(AND(L2&gt;=90,J2&gt;=K2,N2,"ACTIVE"),"INCREMENT ELIGIBLE","NOT ELIGIBLE")</f>
        <v>INCREMENT ELIGIBLE</v>
      </c>
      <c r="G45" s="2" t="str">
        <f>IF(OR(I2&gt;=50000,J2&gt;=150000),"STAR EMPLOYEE","REGURAL EMPLOYEE")</f>
        <v>REGURAL EMPLOYEE</v>
      </c>
      <c r="H45" s="2"/>
    </row>
    <row r="46" spans="1:15" x14ac:dyDescent="0.25">
      <c r="A46" s="2" t="str">
        <f t="shared" ref="A46:A54" si="13">IF(J3&gt;=100000,"TARGET ACHIEVED","TARGET MISSED")</f>
        <v>TARGET MISSED</v>
      </c>
      <c r="B46" s="2" t="str" cm="1">
        <f t="array" ref="B46">_xlfn.IFS(I3&gt;=60000,"A+",I3&gt;=50000,"A",I3&gt;=45000,"B",I3&gt;=40000,"C",I3&lt;40000,"D")</f>
        <v>C</v>
      </c>
      <c r="C46" s="2"/>
      <c r="D46" s="2"/>
      <c r="E46" s="2" t="str">
        <f t="shared" ref="E46:E54" si="14">IF(J3&gt;=150000,"EXCELLENT",IF(J3&gt;=100000,"GOOD",IF(J3&gt;=50000,"AVARAGE",IF(J3&lt;50000,"POOR"))))</f>
        <v>POOR</v>
      </c>
      <c r="F46" s="2" t="str">
        <f t="shared" ref="F46:F54" si="15">IF(AND(L3&gt;=90,J3&gt;=K3,N3,"ACTIVE"),"INCREMENT ELIGIBLE","NOT ELIGIBLE")</f>
        <v>NOT ELIGIBLE</v>
      </c>
      <c r="G46" s="2" t="str">
        <f t="shared" ref="G46:G54" si="16">IF(OR(I3&gt;=50000,J3&gt;=150000),"STAR EMPLOYEE","REGURAL EMPLOYEE")</f>
        <v>REGURAL EMPLOYEE</v>
      </c>
      <c r="H46" s="2"/>
    </row>
    <row r="47" spans="1:15" x14ac:dyDescent="0.25">
      <c r="A47" s="2" t="str">
        <f t="shared" si="13"/>
        <v>TARGET MISSED</v>
      </c>
      <c r="B47" s="2" t="str" cm="1">
        <f t="array" ref="B47">_xlfn.IFS(I4&gt;=60000,"A+",I4&gt;=50000,"A",I4&gt;=45000,"B",I4&gt;=40000,"C",I4&lt;40000,"D")</f>
        <v>D</v>
      </c>
      <c r="C47" s="2"/>
      <c r="D47" s="2"/>
      <c r="E47" s="2" t="str">
        <f t="shared" si="14"/>
        <v>AVARAGE</v>
      </c>
      <c r="F47" s="2" t="str">
        <f t="shared" si="15"/>
        <v>NOT ELIGIBLE</v>
      </c>
      <c r="G47" s="2" t="str">
        <f t="shared" si="16"/>
        <v>REGURAL EMPLOYEE</v>
      </c>
      <c r="H47" s="2"/>
    </row>
    <row r="48" spans="1:15" x14ac:dyDescent="0.25">
      <c r="A48" s="2" t="str">
        <f t="shared" si="13"/>
        <v>TARGET MISSED</v>
      </c>
      <c r="B48" s="2" t="str" cm="1">
        <f t="array" ref="B48">_xlfn.IFS(I5&gt;=60000,"A+",I5&gt;=50000,"A",I5&gt;=45000,"B",I5&gt;=40000,"C",I5&lt;40000,"D")</f>
        <v>A</v>
      </c>
      <c r="C48" s="2"/>
      <c r="D48" s="2"/>
      <c r="E48" s="2" t="str">
        <f t="shared" si="14"/>
        <v>POOR</v>
      </c>
      <c r="F48" s="2" t="str">
        <f t="shared" si="15"/>
        <v>NOT ELIGIBLE</v>
      </c>
      <c r="G48" s="2" t="str">
        <f t="shared" si="16"/>
        <v>STAR EMPLOYEE</v>
      </c>
      <c r="H48" s="2"/>
    </row>
    <row r="49" spans="1:8" x14ac:dyDescent="0.25">
      <c r="A49" s="2" t="str">
        <f t="shared" si="13"/>
        <v>TARGET ACHIEVED</v>
      </c>
      <c r="B49" s="2" t="str" cm="1">
        <f t="array" ref="B49">_xlfn.IFS(I6&gt;=60000,"A+",I6&gt;=50000,"A",I6&gt;=45000,"B",I6&gt;=40000,"C",I6&lt;40000,"D")</f>
        <v>A+</v>
      </c>
      <c r="C49" s="2"/>
      <c r="D49" s="2"/>
      <c r="E49" s="2" t="str">
        <f t="shared" si="14"/>
        <v>EXCELLENT</v>
      </c>
      <c r="F49" s="2" t="str">
        <f t="shared" si="15"/>
        <v>INCREMENT ELIGIBLE</v>
      </c>
      <c r="G49" s="2" t="str">
        <f t="shared" si="16"/>
        <v>STAR EMPLOYEE</v>
      </c>
      <c r="H49" s="2"/>
    </row>
    <row r="50" spans="1:8" x14ac:dyDescent="0.25">
      <c r="A50" s="2" t="str">
        <f t="shared" si="13"/>
        <v>TARGET MISSED</v>
      </c>
      <c r="B50" s="2" t="str" cm="1">
        <f t="array" ref="B50">_xlfn.IFS(I7&gt;=60000,"A+",I7&gt;=50000,"A",I7&gt;=45000,"B",I7&gt;=40000,"C",I7&lt;40000,"D")</f>
        <v>B</v>
      </c>
      <c r="C50" s="2"/>
      <c r="D50" s="2"/>
      <c r="E50" s="2" t="str">
        <f t="shared" si="14"/>
        <v>POOR</v>
      </c>
      <c r="F50" s="2" t="str">
        <f t="shared" si="15"/>
        <v>INCREMENT ELIGIBLE</v>
      </c>
      <c r="G50" s="2" t="str">
        <f t="shared" si="16"/>
        <v>REGURAL EMPLOYEE</v>
      </c>
      <c r="H50" s="2"/>
    </row>
    <row r="51" spans="1:8" x14ac:dyDescent="0.25">
      <c r="A51" s="2" t="str">
        <f t="shared" si="13"/>
        <v>TARGET ACHIEVED</v>
      </c>
      <c r="B51" s="2" t="str" cm="1">
        <f t="array" ref="B51">_xlfn.IFS(I8&gt;=60000,"A+",I8&gt;=50000,"A",I8&gt;=45000,"B",I8&gt;=40000,"C",I8&lt;40000,"D")</f>
        <v>C</v>
      </c>
      <c r="C51" s="2"/>
      <c r="D51" s="2"/>
      <c r="E51" s="2" t="str">
        <f t="shared" si="14"/>
        <v>EXCELLENT</v>
      </c>
      <c r="F51" s="2" t="str">
        <f t="shared" si="15"/>
        <v>NOT ELIGIBLE</v>
      </c>
      <c r="G51" s="2" t="str">
        <f t="shared" si="16"/>
        <v>STAR EMPLOYEE</v>
      </c>
      <c r="H51" s="2"/>
    </row>
    <row r="52" spans="1:8" x14ac:dyDescent="0.25">
      <c r="A52" s="2" t="str">
        <f t="shared" si="13"/>
        <v>TARGET MISSED</v>
      </c>
      <c r="B52" s="2" t="str" cm="1">
        <f t="array" ref="B52">_xlfn.IFS(I9&gt;=60000,"A+",I9&gt;=50000,"A",I9&gt;=45000,"B",I9&gt;=40000,"C",I9&lt;40000,"D")</f>
        <v>A</v>
      </c>
      <c r="C52" s="2"/>
      <c r="D52" s="2"/>
      <c r="E52" s="2" t="str">
        <f t="shared" si="14"/>
        <v>POOR</v>
      </c>
      <c r="F52" s="2" t="str">
        <f t="shared" si="15"/>
        <v>NOT ELIGIBLE</v>
      </c>
      <c r="G52" s="2" t="str">
        <f t="shared" si="16"/>
        <v>STAR EMPLOYEE</v>
      </c>
      <c r="H52" s="2"/>
    </row>
    <row r="53" spans="1:8" x14ac:dyDescent="0.25">
      <c r="A53" s="2" t="str">
        <f t="shared" si="13"/>
        <v>TARGET MISSED</v>
      </c>
      <c r="B53" s="2" t="str" cm="1">
        <f t="array" ref="B53">_xlfn.IFS(I10&gt;=60000,"A+",I10&gt;=50000,"A",I10&gt;=45000,"B",I10&gt;=40000,"C",I10&lt;40000,"D")</f>
        <v>B</v>
      </c>
      <c r="C53" s="2"/>
      <c r="D53" s="2"/>
      <c r="E53" s="2" t="str">
        <f t="shared" si="14"/>
        <v>AVARAGE</v>
      </c>
      <c r="F53" s="2" t="str">
        <f t="shared" si="15"/>
        <v>NOT ELIGIBLE</v>
      </c>
      <c r="G53" s="2" t="str">
        <f t="shared" si="16"/>
        <v>REGURAL EMPLOYEE</v>
      </c>
      <c r="H53" s="2"/>
    </row>
    <row r="54" spans="1:8" x14ac:dyDescent="0.25">
      <c r="A54" s="2" t="str">
        <f t="shared" si="13"/>
        <v>TARGET MISSED</v>
      </c>
      <c r="B54" s="2" t="str" cm="1">
        <f t="array" ref="B54">_xlfn.IFS(I11&gt;=60000,"A+",I11&gt;=50000,"A",I11&gt;=45000,"B",I11&gt;=40000,"C",I11&lt;40000,"D")</f>
        <v>C</v>
      </c>
      <c r="C54" s="2"/>
      <c r="D54" s="2"/>
      <c r="E54" s="2" t="str">
        <f t="shared" si="14"/>
        <v>POOR</v>
      </c>
      <c r="F54" s="2" t="str">
        <f t="shared" si="15"/>
        <v>INCREMENT ELIGIBLE</v>
      </c>
      <c r="G54" s="2" t="str">
        <f t="shared" si="16"/>
        <v>REGURAL EMPLOYEE</v>
      </c>
      <c r="H5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lakhekalyani25@gmail.com</dc:creator>
  <cp:lastModifiedBy>lakhekalyani25@gmail.com</cp:lastModifiedBy>
  <dcterms:created xsi:type="dcterms:W3CDTF">2026-06-30T05:06:57Z</dcterms:created>
  <dcterms:modified xsi:type="dcterms:W3CDTF">2026-07-06T06:14:37Z</dcterms:modified>
</cp:coreProperties>
</file>