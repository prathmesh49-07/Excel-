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8\Desktop\"/>
    </mc:Choice>
  </mc:AlternateContent>
  <xr:revisionPtr revIDLastSave="0" documentId="8_{C19191C5-63C0-4F1D-A80B-FD4A29786B3A}" xr6:coauthVersionLast="47" xr6:coauthVersionMax="47" xr10:uidLastSave="{00000000-0000-0000-0000-000000000000}"/>
  <bookViews>
    <workbookView xWindow="-120" yWindow="-120" windowWidth="24240" windowHeight="13020" xr2:uid="{AD3F5529-11CB-471A-BF4E-194C55FE0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" l="1"/>
  <c r="M28" i="1"/>
  <c r="M29" i="1"/>
  <c r="M30" i="1"/>
  <c r="M31" i="1"/>
  <c r="M32" i="1"/>
  <c r="M33" i="1"/>
  <c r="M27" i="1"/>
  <c r="P22" i="1"/>
  <c r="P21" i="1"/>
  <c r="P20" i="1"/>
  <c r="P19" i="1"/>
  <c r="P18" i="1"/>
  <c r="P17" i="1"/>
  <c r="P16" i="1"/>
  <c r="G16" i="1"/>
  <c r="G17" i="1"/>
  <c r="G18" i="1"/>
  <c r="G19" i="1"/>
  <c r="G20" i="1"/>
  <c r="G21" i="1"/>
  <c r="G22" i="1"/>
  <c r="G15" i="1"/>
  <c r="M26" i="1"/>
  <c r="K21" i="1"/>
  <c r="K22" i="1"/>
  <c r="K20" i="1"/>
  <c r="K19" i="1"/>
  <c r="K18" i="1"/>
  <c r="K17" i="1"/>
  <c r="K16" i="1"/>
  <c r="K15" i="1"/>
  <c r="P15" i="1"/>
  <c r="Q16" i="1"/>
  <c r="Q17" i="1"/>
  <c r="Q18" i="1"/>
  <c r="Q19" i="1"/>
  <c r="Q20" i="1"/>
  <c r="Q21" i="1"/>
  <c r="Q22" i="1"/>
  <c r="Q15" i="1"/>
  <c r="H16" i="1"/>
  <c r="H17" i="1"/>
  <c r="H18" i="1"/>
  <c r="H19" i="1"/>
  <c r="H20" i="1"/>
  <c r="H21" i="1"/>
  <c r="H22" i="1"/>
  <c r="H15" i="1"/>
  <c r="L16" i="1"/>
  <c r="L17" i="1"/>
  <c r="L18" i="1"/>
  <c r="L19" i="1"/>
  <c r="L20" i="1"/>
  <c r="L21" i="1"/>
  <c r="L22" i="1"/>
  <c r="L15" i="1"/>
  <c r="L27" i="1"/>
  <c r="L28" i="1"/>
  <c r="L29" i="1"/>
  <c r="L30" i="1"/>
  <c r="L31" i="1"/>
  <c r="L32" i="1"/>
  <c r="L33" i="1"/>
  <c r="L26" i="1"/>
  <c r="K27" i="1" a="1"/>
  <c r="K28" i="1" a="1"/>
  <c r="K29" i="1" a="1"/>
  <c r="K30" i="1" a="1"/>
  <c r="K31" i="1" a="1"/>
  <c r="K32" i="1" a="1"/>
  <c r="K33" i="1" a="1"/>
  <c r="K26" i="1" a="1"/>
  <c r="J27" i="1" a="1"/>
  <c r="J28" i="1" a="1"/>
  <c r="J29" i="1" a="1"/>
  <c r="J30" i="1" a="1"/>
  <c r="J31" i="1" a="1"/>
  <c r="J32" i="1" a="1"/>
  <c r="J33" i="1" a="1"/>
  <c r="J26" i="1" a="1"/>
  <c r="I27" i="1"/>
  <c r="I28" i="1"/>
  <c r="I29" i="1"/>
  <c r="I30" i="1"/>
  <c r="I31" i="1"/>
  <c r="I32" i="1"/>
  <c r="I33" i="1"/>
  <c r="I26" i="1"/>
  <c r="O15" i="1"/>
  <c r="N15" i="1"/>
  <c r="M15" i="1"/>
  <c r="H27" i="1"/>
  <c r="H28" i="1"/>
  <c r="H29" i="1"/>
  <c r="H30" i="1"/>
  <c r="H31" i="1"/>
  <c r="H32" i="1"/>
  <c r="H33" i="1"/>
  <c r="H26" i="1"/>
  <c r="G26" i="1"/>
  <c r="F26" i="1"/>
  <c r="E26" i="1"/>
  <c r="D26" i="1"/>
  <c r="B26" i="1"/>
  <c r="C26" i="1"/>
  <c r="O16" i="1"/>
  <c r="O17" i="1"/>
  <c r="O18" i="1"/>
  <c r="O19" i="1"/>
  <c r="O20" i="1"/>
  <c r="O21" i="1"/>
  <c r="O22" i="1"/>
  <c r="J16" i="1"/>
  <c r="J17" i="1"/>
  <c r="J18" i="1"/>
  <c r="J19" i="1"/>
  <c r="J20" i="1"/>
  <c r="J21" i="1"/>
  <c r="J22" i="1"/>
  <c r="J15" i="1"/>
  <c r="I16" i="1"/>
  <c r="I17" i="1"/>
  <c r="I18" i="1"/>
  <c r="I19" i="1"/>
  <c r="I20" i="1"/>
  <c r="I21" i="1"/>
  <c r="I22" i="1"/>
  <c r="I15" i="1"/>
  <c r="F22" i="1"/>
  <c r="F21" i="1"/>
  <c r="F20" i="1"/>
  <c r="F19" i="1"/>
  <c r="F18" i="1"/>
  <c r="F17" i="1"/>
  <c r="F16" i="1"/>
  <c r="F15" i="1"/>
  <c r="E22" i="1"/>
  <c r="E21" i="1"/>
  <c r="E20" i="1"/>
  <c r="E19" i="1"/>
  <c r="E18" i="1"/>
  <c r="E17" i="1"/>
  <c r="E16" i="1"/>
  <c r="E15" i="1"/>
  <c r="D22" i="1"/>
  <c r="D21" i="1"/>
  <c r="D20" i="1"/>
  <c r="D19" i="1"/>
  <c r="D18" i="1"/>
  <c r="D17" i="1"/>
  <c r="D16" i="1"/>
  <c r="D15" i="1"/>
  <c r="C22" i="1"/>
  <c r="C21" i="1"/>
  <c r="C19" i="1"/>
  <c r="C20" i="1"/>
  <c r="C18" i="1"/>
  <c r="C17" i="1"/>
  <c r="C16" i="1"/>
  <c r="C15" i="1"/>
  <c r="B22" i="1"/>
  <c r="B21" i="1"/>
  <c r="B20" i="1"/>
  <c r="B19" i="1"/>
  <c r="B18" i="1"/>
  <c r="B17" i="1"/>
  <c r="B16" i="1"/>
  <c r="B15" i="1"/>
  <c r="A22" i="1"/>
  <c r="A21" i="1"/>
  <c r="A20" i="1"/>
  <c r="A19" i="1"/>
  <c r="A18" i="1"/>
  <c r="A17" i="1"/>
  <c r="A16" i="1"/>
  <c r="A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<sst xmlns="http://schemas.openxmlformats.org/spreadsheetml/2006/main" count="89" uniqueCount="73">
  <si>
    <t>ST101</t>
  </si>
  <si>
    <t>ST102</t>
  </si>
  <si>
    <t>ST103</t>
  </si>
  <si>
    <t>ST104</t>
  </si>
  <si>
    <t>ST105</t>
  </si>
  <si>
    <t>ST106</t>
  </si>
  <si>
    <t>ST107</t>
  </si>
  <si>
    <t>ST108</t>
  </si>
  <si>
    <t>Student ID</t>
  </si>
  <si>
    <t>Full Name</t>
  </si>
  <si>
    <t>Gender</t>
  </si>
  <si>
    <t>DOB</t>
  </si>
  <si>
    <t xml:space="preserve">Join Date </t>
  </si>
  <si>
    <t>Login time</t>
  </si>
  <si>
    <t>Cource</t>
  </si>
  <si>
    <t xml:space="preserve">Data Analyst </t>
  </si>
  <si>
    <t>sql</t>
  </si>
  <si>
    <t>Marks</t>
  </si>
  <si>
    <t>attendence %</t>
  </si>
  <si>
    <t>Rahul Sharma</t>
  </si>
  <si>
    <t>Anita Singh</t>
  </si>
  <si>
    <t>Rohit Kumar</t>
  </si>
  <si>
    <t>Neha Patil</t>
  </si>
  <si>
    <t>Amit Shah</t>
  </si>
  <si>
    <t>Priya Joshi</t>
  </si>
  <si>
    <t>Karan More</t>
  </si>
  <si>
    <t>Sneha Kulkarni</t>
  </si>
  <si>
    <t>Male</t>
  </si>
  <si>
    <t>Female</t>
  </si>
  <si>
    <t>City</t>
  </si>
  <si>
    <t>Pune</t>
  </si>
  <si>
    <t>Mumbai</t>
  </si>
  <si>
    <t>Nagpur</t>
  </si>
  <si>
    <t>Nahik</t>
  </si>
  <si>
    <t xml:space="preserve">Python </t>
  </si>
  <si>
    <t xml:space="preserve">Excel </t>
  </si>
  <si>
    <t>SQL</t>
  </si>
  <si>
    <t>Power BI</t>
  </si>
  <si>
    <t>Machine Learning</t>
  </si>
  <si>
    <t>Fees Paid</t>
  </si>
  <si>
    <t>Yes</t>
  </si>
  <si>
    <t>No</t>
  </si>
  <si>
    <t>yes</t>
  </si>
  <si>
    <t>no</t>
  </si>
  <si>
    <t>question 1</t>
  </si>
  <si>
    <t>question2</t>
  </si>
  <si>
    <t>question3</t>
  </si>
  <si>
    <t>question4</t>
  </si>
  <si>
    <t>question5</t>
  </si>
  <si>
    <t>question6</t>
  </si>
  <si>
    <t>question8</t>
  </si>
  <si>
    <t>question9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</si>
  <si>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</si>
  <si>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</si>
  <si>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</si>
  <si>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</si>
  <si>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</si>
  <si>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</si>
  <si>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</si>
  <si>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</si>
  <si>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</si>
  <si>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</si>
  <si>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QUESTION22</t>
  </si>
  <si>
    <t>QUESTION23</t>
  </si>
  <si>
    <t>QUESTION24</t>
  </si>
  <si>
    <t>QUESTION25</t>
  </si>
  <si>
    <t>QUESTION26</t>
  </si>
  <si>
    <t>QUESTION27</t>
  </si>
  <si>
    <t>question11</t>
  </si>
  <si>
    <t>QUESTION11</t>
  </si>
  <si>
    <t>QUESTION 10</t>
  </si>
  <si>
    <t>YEAR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</si>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</sst>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upp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C5E2-A634-45C0-97CB-CB34A76E832F}">
  <dimension ref="A1:R35"/>
  <sheetViews>
    <sheetView tabSelected="1" workbookViewId="0">
      <selection sqref="A1:R33"/>
    </sheetView>
  </sheetViews>
  <sheetFormatPr defaultRowHeight="15"/>
  <cols>
    <col min="1" max="2" width="13.5703125" customWidth="1"/>
    <col min="3" max="3" width="14.140625" customWidth="1"/>
    <col min="4" max="4" width="12.85546875" customWidth="1"/>
    <col min="5" max="5" width="13.85546875" customWidth="1"/>
    <col min="6" max="6" width="19.7109375" customWidth="1"/>
    <col min="7" max="7" width="22.42578125" customWidth="1"/>
    <col min="8" max="8" width="12.140625" customWidth="1"/>
    <col min="9" max="9" width="12.5703125" customWidth="1"/>
    <col min="10" max="10" width="13.140625" customWidth="1"/>
    <col min="11" max="11" width="14.5703125" customWidth="1"/>
    <col min="12" max="12" width="13" customWidth="1"/>
    <col min="13" max="13" width="21.5703125" customWidth="1"/>
    <col min="14" max="14" width="11.85546875" customWidth="1"/>
    <col min="15" max="15" width="10.85546875" customWidth="1"/>
    <col min="16" max="16" width="12.140625" customWidth="1"/>
    <col min="17" max="17" width="10.7109375" bestFit="1" customWidth="1"/>
  </cols>
  <sheetData>
    <row r="1" spans="1:18">
      <c r="A1" s="2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5" t="s">
        <v>13</v>
      </c>
      <c r="G1" s="1" t="s">
        <v>29</v>
      </c>
      <c r="H1" s="1" t="s">
        <v>14</v>
      </c>
      <c r="I1" s="1" t="s">
        <v>17</v>
      </c>
      <c r="J1" s="1" t="s">
        <v>18</v>
      </c>
      <c r="K1" s="1" t="s">
        <v>39</v>
      </c>
      <c r="L1" s="1"/>
      <c r="M1" s="1"/>
      <c r="N1" s="1"/>
      <c r="O1" s="1"/>
      <c r="P1" s="1"/>
      <c r="Q1" s="1"/>
      <c r="R1" s="1"/>
    </row>
    <row r="2" spans="1:18">
      <c r="A2" s="1" t="s">
        <v>0</v>
      </c>
      <c r="B2" s="1" t="s">
        <v>19</v>
      </c>
      <c r="C2" s="1" t="s">
        <v>27</v>
      </c>
      <c r="D2" s="2">
        <v>37271</v>
      </c>
      <c r="E2" s="2">
        <v>46183</v>
      </c>
      <c r="F2" s="5">
        <v>0.38541666666666669</v>
      </c>
      <c r="G2" s="1" t="s">
        <v>30</v>
      </c>
      <c r="H2" s="1" t="s">
        <v>15</v>
      </c>
      <c r="I2" s="1">
        <v>85</v>
      </c>
      <c r="J2" s="1">
        <v>92</v>
      </c>
      <c r="K2" s="1" t="s">
        <v>40</v>
      </c>
      <c r="L2" s="1"/>
      <c r="M2" s="1"/>
      <c r="N2" s="1"/>
      <c r="O2" s="1"/>
      <c r="P2" s="1"/>
      <c r="Q2" s="1"/>
      <c r="R2" s="1"/>
    </row>
    <row r="3" spans="1:18">
      <c r="A3" s="1" t="s">
        <v>1</v>
      </c>
      <c r="B3" s="1" t="s">
        <v>20</v>
      </c>
      <c r="C3" s="1" t="s">
        <v>28</v>
      </c>
      <c r="D3" s="2">
        <v>37033</v>
      </c>
      <c r="E3" s="2">
        <v>46185</v>
      </c>
      <c r="F3" s="5">
        <v>0.42708333333333298</v>
      </c>
      <c r="G3" s="1" t="s">
        <v>31</v>
      </c>
      <c r="H3" s="1" t="s">
        <v>34</v>
      </c>
      <c r="I3" s="1">
        <v>45</v>
      </c>
      <c r="J3" s="1">
        <v>70</v>
      </c>
      <c r="K3" s="1" t="s">
        <v>41</v>
      </c>
      <c r="L3" s="1"/>
      <c r="M3" s="1"/>
      <c r="N3" s="1"/>
      <c r="O3" s="1"/>
      <c r="P3" s="1"/>
      <c r="Q3" s="1"/>
      <c r="R3" s="1"/>
    </row>
    <row r="4" spans="1:18">
      <c r="A4" s="1" t="s">
        <v>2</v>
      </c>
      <c r="B4" s="1" t="s">
        <v>21</v>
      </c>
      <c r="C4" s="1" t="s">
        <v>27</v>
      </c>
      <c r="D4" s="2">
        <v>37912</v>
      </c>
      <c r="E4" s="2">
        <v>46188</v>
      </c>
      <c r="F4" s="5">
        <v>0.46875</v>
      </c>
      <c r="G4" s="1" t="s">
        <v>30</v>
      </c>
      <c r="H4" s="1" t="s">
        <v>35</v>
      </c>
      <c r="I4" s="1">
        <v>72</v>
      </c>
      <c r="J4" s="1">
        <v>85</v>
      </c>
      <c r="K4" s="1" t="s">
        <v>42</v>
      </c>
      <c r="L4" s="1"/>
      <c r="M4" s="1"/>
      <c r="N4" s="1"/>
      <c r="O4" s="1"/>
      <c r="P4" s="1"/>
      <c r="Q4" s="1"/>
      <c r="R4" s="1"/>
    </row>
    <row r="5" spans="1:18">
      <c r="A5" s="1" t="s">
        <v>3</v>
      </c>
      <c r="B5" s="1" t="s">
        <v>22</v>
      </c>
      <c r="C5" s="1" t="s">
        <v>28</v>
      </c>
      <c r="D5" s="2">
        <v>37324</v>
      </c>
      <c r="E5" s="2">
        <v>46191</v>
      </c>
      <c r="F5" s="5">
        <v>0.51041666666666696</v>
      </c>
      <c r="G5" s="1" t="s">
        <v>32</v>
      </c>
      <c r="H5" s="1" t="s">
        <v>16</v>
      </c>
      <c r="I5" s="1">
        <v>30</v>
      </c>
      <c r="J5" s="1">
        <v>60</v>
      </c>
      <c r="K5" s="1" t="s">
        <v>43</v>
      </c>
      <c r="L5" s="1"/>
      <c r="M5" s="1"/>
      <c r="N5" s="1"/>
      <c r="O5" s="1"/>
      <c r="P5" s="1"/>
      <c r="Q5" s="1"/>
      <c r="R5" s="1"/>
    </row>
    <row r="6" spans="1:18">
      <c r="A6" s="1" t="s">
        <v>4</v>
      </c>
      <c r="B6" s="1" t="s">
        <v>23</v>
      </c>
      <c r="C6" s="1" t="s">
        <v>27</v>
      </c>
      <c r="D6" s="2">
        <v>36708</v>
      </c>
      <c r="E6" s="2">
        <v>46193</v>
      </c>
      <c r="F6" s="5">
        <v>0.55208333333333304</v>
      </c>
      <c r="G6" s="1" t="s">
        <v>30</v>
      </c>
      <c r="H6" s="1" t="s">
        <v>37</v>
      </c>
      <c r="I6" s="1">
        <v>91</v>
      </c>
      <c r="J6" s="1">
        <v>98</v>
      </c>
      <c r="K6" s="1" t="s">
        <v>42</v>
      </c>
      <c r="L6" s="1"/>
      <c r="M6" s="1"/>
      <c r="N6" s="1"/>
      <c r="O6" s="1"/>
      <c r="P6" s="1"/>
      <c r="Q6" s="1"/>
      <c r="R6" s="1"/>
    </row>
    <row r="7" spans="1:18" ht="30">
      <c r="A7" s="1" t="s">
        <v>5</v>
      </c>
      <c r="B7" s="1" t="s">
        <v>24</v>
      </c>
      <c r="C7" s="1" t="s">
        <v>28</v>
      </c>
      <c r="D7" s="2">
        <v>37588</v>
      </c>
      <c r="E7" s="2">
        <v>46194</v>
      </c>
      <c r="F7" s="5">
        <v>0.59375</v>
      </c>
      <c r="G7" s="1" t="s">
        <v>33</v>
      </c>
      <c r="H7" s="3" t="s">
        <v>38</v>
      </c>
      <c r="I7" s="1">
        <v>65</v>
      </c>
      <c r="J7" s="1">
        <v>78</v>
      </c>
      <c r="K7" s="1" t="s">
        <v>42</v>
      </c>
      <c r="L7" s="1"/>
      <c r="M7" s="1"/>
      <c r="N7" s="1"/>
      <c r="O7" s="1"/>
      <c r="P7" s="1"/>
      <c r="Q7" s="1"/>
      <c r="R7" s="1"/>
    </row>
    <row r="8" spans="1:18">
      <c r="A8" s="1" t="s">
        <v>6</v>
      </c>
      <c r="B8" s="1" t="s">
        <v>25</v>
      </c>
      <c r="C8" s="1" t="s">
        <v>27</v>
      </c>
      <c r="D8" s="2">
        <v>37117</v>
      </c>
      <c r="E8" s="2">
        <v>46198</v>
      </c>
      <c r="F8" s="5">
        <v>0.63541666666666696</v>
      </c>
      <c r="G8" s="1" t="s">
        <v>31</v>
      </c>
      <c r="H8" s="1" t="s">
        <v>35</v>
      </c>
      <c r="I8" s="1">
        <v>50</v>
      </c>
      <c r="J8" s="1">
        <v>82</v>
      </c>
      <c r="K8" s="1" t="s">
        <v>43</v>
      </c>
      <c r="L8" s="1"/>
      <c r="M8" s="1"/>
      <c r="N8" s="1"/>
      <c r="O8" s="1"/>
      <c r="P8" s="1"/>
      <c r="Q8" s="1"/>
      <c r="R8" s="1"/>
    </row>
    <row r="9" spans="1:18">
      <c r="A9" s="1" t="s">
        <v>7</v>
      </c>
      <c r="B9" s="1" t="s">
        <v>26</v>
      </c>
      <c r="C9" s="1" t="s">
        <v>28</v>
      </c>
      <c r="D9" s="2">
        <v>37657</v>
      </c>
      <c r="E9" s="2">
        <v>46201</v>
      </c>
      <c r="F9" s="5">
        <v>0.67708333333333304</v>
      </c>
      <c r="G9" s="1" t="s">
        <v>30</v>
      </c>
      <c r="H9" s="1" t="s">
        <v>36</v>
      </c>
      <c r="I9" s="1">
        <v>95</v>
      </c>
      <c r="J9" s="1">
        <v>99</v>
      </c>
      <c r="K9" s="1" t="s">
        <v>42</v>
      </c>
      <c r="L9" s="1"/>
      <c r="M9" s="1"/>
      <c r="N9" s="1"/>
      <c r="O9" s="1"/>
      <c r="P9" s="1"/>
      <c r="Q9" s="1"/>
      <c r="R9" s="1"/>
    </row>
    <row r="10" spans="1: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/>
      <c r="B13" s="1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49</v>
      </c>
      <c r="H14" s="1" t="s">
        <v>71</v>
      </c>
      <c r="I14" s="1" t="s">
        <v>50</v>
      </c>
      <c r="J14" s="1" t="s">
        <v>51</v>
      </c>
      <c r="K14" s="1" t="s">
        <v>68</v>
      </c>
      <c r="L14" s="1" t="s">
        <v>70</v>
      </c>
      <c r="M14" s="1" t="s">
        <v>52</v>
      </c>
      <c r="N14" s="1" t="s">
        <v>53</v>
      </c>
      <c r="O14" s="1" t="s">
        <v>54</v>
      </c>
      <c r="P14" s="1" t="s">
        <v>69</v>
      </c>
      <c r="Q14" s="1" t="s">
        <v>72</v>
      </c>
      <c r="R14" s="1"/>
    </row>
    <row r="15" spans="1:18">
      <c r="A15" s="1" t="str">
        <f t="shared" ref="A15:A22" si="0">PROPER(B2)</f>
        <v>Rahul Sharma</v>
      </c>
      <c r="B15" s="1" t="str">
        <f>LEFT(A15,5)</f>
        <v>Rahul</v>
      </c>
      <c r="C15" s="1" t="str">
        <f>RIGHT(A15,6)</f>
        <v>Sharma</v>
      </c>
      <c r="D15" s="1" t="str">
        <f t="shared" ref="D15:D22" si="1">UPPER(G2)</f>
        <v>PUNE</v>
      </c>
      <c r="E15" s="1">
        <f t="shared" ref="E15:E22" si="2">LEN(H2)</f>
        <v>13</v>
      </c>
      <c r="F15" s="1" t="str">
        <f t="shared" ref="F15:F22" si="3">_xlfn.CONCAT(A2:B2)</f>
        <v>ST101Rahul Sharma</v>
      </c>
      <c r="G15" s="1" t="str">
        <f>_xlfn.CONCAT(A2:B2)</f>
        <v>ST101Rahul Sharma</v>
      </c>
      <c r="H15" s="2" t="str">
        <f>TEXT(D2,"YYYY")</f>
        <v>2002</v>
      </c>
      <c r="I15" s="1" t="str">
        <f>TEXT(D2,"mmmm")</f>
        <v>January</v>
      </c>
      <c r="J15" s="1" t="str">
        <f>TEXT(E2,"dddd")</f>
        <v>Wednesday</v>
      </c>
      <c r="K15" s="1">
        <f t="shared" ref="K15:K20" si="4">HOUR(F2)</f>
        <v>9</v>
      </c>
      <c r="L15" s="1">
        <f ca="1">TODAY()-E2</f>
        <v>23</v>
      </c>
      <c r="M15" s="1">
        <f>COUNTIF(G2:G9,"PUNE")</f>
        <v>4</v>
      </c>
      <c r="N15" s="1">
        <f>COUNTIF(G2:G9,"mumbai")</f>
        <v>2</v>
      </c>
      <c r="O15" s="1">
        <f>COUNTIF(C2,"female")</f>
        <v>0</v>
      </c>
      <c r="P15" s="1">
        <f t="shared" ref="P15:P22" si="5">MINUTE(F2)</f>
        <v>15</v>
      </c>
      <c r="Q15" s="1">
        <f>2026-H15</f>
        <v>24</v>
      </c>
      <c r="R15" s="1"/>
    </row>
    <row r="16" spans="1:18">
      <c r="A16" s="1" t="str">
        <f t="shared" si="0"/>
        <v>Anita Singh</v>
      </c>
      <c r="B16" s="1" t="str">
        <f>LEFT(A16,5)</f>
        <v>Anita</v>
      </c>
      <c r="C16" s="1" t="str">
        <f>RIGHT(A16,5)</f>
        <v>Singh</v>
      </c>
      <c r="D16" s="1" t="str">
        <f t="shared" si="1"/>
        <v>MUMBAI</v>
      </c>
      <c r="E16" s="1">
        <f t="shared" si="2"/>
        <v>7</v>
      </c>
      <c r="F16" s="1" t="str">
        <f t="shared" si="3"/>
        <v>ST102Anita Singh</v>
      </c>
      <c r="G16" s="1" t="str">
        <f t="shared" ref="G16:G22" si="6">_xlfn.CONCAT(A3:B3)</f>
        <v>ST102Anita Singh</v>
      </c>
      <c r="H16" s="2" t="str">
        <f t="shared" ref="H16:H22" si="7">TEXT(D3,"YYYY")</f>
        <v>2001</v>
      </c>
      <c r="I16" s="1" t="str">
        <f t="shared" ref="I16:I22" si="8">TEXT(D3,"mmmm")</f>
        <v>May</v>
      </c>
      <c r="J16" s="1" t="str">
        <f t="shared" ref="J16:J22" si="9">TEXT(E3,"dddd")</f>
        <v>Friday</v>
      </c>
      <c r="K16" s="1">
        <f t="shared" si="4"/>
        <v>10</v>
      </c>
      <c r="L16" s="1">
        <f t="shared" ref="L16:L22" ca="1" si="10">TODAY()-E3</f>
        <v>21</v>
      </c>
      <c r="M16" s="1"/>
      <c r="N16" s="1"/>
      <c r="O16" s="1">
        <f t="shared" ref="O16:O22" si="11">COUNTIF(A3:K3,"female")</f>
        <v>1</v>
      </c>
      <c r="P16" s="1">
        <f t="shared" si="5"/>
        <v>15</v>
      </c>
      <c r="Q16" s="1">
        <f t="shared" ref="Q16:Q22" si="12">2026-H16</f>
        <v>25</v>
      </c>
      <c r="R16" s="1"/>
    </row>
    <row r="17" spans="1:18">
      <c r="A17" s="1" t="str">
        <f t="shared" si="0"/>
        <v>Rohit Kumar</v>
      </c>
      <c r="B17" s="1" t="str">
        <f>LEFT(A17,5)</f>
        <v>Rohit</v>
      </c>
      <c r="C17" s="1" t="str">
        <f>RIGHT(A17,5)</f>
        <v>Kumar</v>
      </c>
      <c r="D17" s="1" t="str">
        <f t="shared" si="1"/>
        <v>PUNE</v>
      </c>
      <c r="E17" s="1">
        <f t="shared" si="2"/>
        <v>6</v>
      </c>
      <c r="F17" s="1" t="str">
        <f t="shared" si="3"/>
        <v>ST103Rohit Kumar</v>
      </c>
      <c r="G17" s="1" t="str">
        <f t="shared" si="6"/>
        <v>ST103Rohit Kumar</v>
      </c>
      <c r="H17" s="2" t="str">
        <f t="shared" si="7"/>
        <v>2003</v>
      </c>
      <c r="I17" s="1" t="str">
        <f t="shared" si="8"/>
        <v>October</v>
      </c>
      <c r="J17" s="1" t="str">
        <f t="shared" si="9"/>
        <v>Monday</v>
      </c>
      <c r="K17" s="1">
        <f t="shared" si="4"/>
        <v>11</v>
      </c>
      <c r="L17" s="1">
        <f t="shared" ca="1" si="10"/>
        <v>18</v>
      </c>
      <c r="M17" s="1"/>
      <c r="N17" s="1"/>
      <c r="O17" s="1">
        <f t="shared" si="11"/>
        <v>0</v>
      </c>
      <c r="P17" s="1">
        <f t="shared" si="5"/>
        <v>15</v>
      </c>
      <c r="Q17" s="1">
        <f t="shared" si="12"/>
        <v>23</v>
      </c>
      <c r="R17" s="1"/>
    </row>
    <row r="18" spans="1:18">
      <c r="A18" s="1" t="str">
        <f t="shared" si="0"/>
        <v>Neha Patil</v>
      </c>
      <c r="B18" s="1" t="str">
        <f>LEFT(A18,4)</f>
        <v>Neha</v>
      </c>
      <c r="C18" s="1" t="str">
        <f>RIGHT(A18,5)</f>
        <v>Patil</v>
      </c>
      <c r="D18" s="1" t="str">
        <f t="shared" si="1"/>
        <v>NAGPUR</v>
      </c>
      <c r="E18" s="1">
        <f t="shared" si="2"/>
        <v>3</v>
      </c>
      <c r="F18" s="1" t="str">
        <f t="shared" si="3"/>
        <v>ST104Neha Patil</v>
      </c>
      <c r="G18" s="1" t="str">
        <f t="shared" si="6"/>
        <v>ST104Neha Patil</v>
      </c>
      <c r="H18" s="2" t="str">
        <f t="shared" si="7"/>
        <v>2002</v>
      </c>
      <c r="I18" s="1" t="str">
        <f t="shared" si="8"/>
        <v>March</v>
      </c>
      <c r="J18" s="1" t="str">
        <f t="shared" si="9"/>
        <v>Thursday</v>
      </c>
      <c r="K18" s="1">
        <f t="shared" si="4"/>
        <v>12</v>
      </c>
      <c r="L18" s="1">
        <f t="shared" ca="1" si="10"/>
        <v>15</v>
      </c>
      <c r="M18" s="1"/>
      <c r="N18" s="1"/>
      <c r="O18" s="1">
        <f t="shared" si="11"/>
        <v>1</v>
      </c>
      <c r="P18" s="1">
        <f t="shared" si="5"/>
        <v>15</v>
      </c>
      <c r="Q18" s="1">
        <f t="shared" si="12"/>
        <v>24</v>
      </c>
      <c r="R18" s="1"/>
    </row>
    <row r="19" spans="1:18">
      <c r="A19" s="1" t="str">
        <f t="shared" si="0"/>
        <v>Amit Shah</v>
      </c>
      <c r="B19" s="1" t="str">
        <f>LEFT(A19,4)</f>
        <v>Amit</v>
      </c>
      <c r="C19" s="1" t="str">
        <f>RIGHT(A19,4)</f>
        <v>Shah</v>
      </c>
      <c r="D19" s="1" t="str">
        <f t="shared" si="1"/>
        <v>PUNE</v>
      </c>
      <c r="E19" s="1">
        <f t="shared" si="2"/>
        <v>8</v>
      </c>
      <c r="F19" s="1" t="str">
        <f t="shared" si="3"/>
        <v>ST105Amit Shah</v>
      </c>
      <c r="G19" s="1" t="str">
        <f t="shared" si="6"/>
        <v>ST105Amit Shah</v>
      </c>
      <c r="H19" s="2" t="str">
        <f t="shared" si="7"/>
        <v>2000</v>
      </c>
      <c r="I19" s="1" t="str">
        <f t="shared" si="8"/>
        <v>July</v>
      </c>
      <c r="J19" s="1" t="str">
        <f t="shared" si="9"/>
        <v>Saturday</v>
      </c>
      <c r="K19" s="1">
        <f t="shared" si="4"/>
        <v>13</v>
      </c>
      <c r="L19" s="1">
        <f t="shared" ca="1" si="10"/>
        <v>13</v>
      </c>
      <c r="M19" s="1"/>
      <c r="N19" s="1"/>
      <c r="O19" s="1">
        <f t="shared" si="11"/>
        <v>0</v>
      </c>
      <c r="P19" s="1">
        <f t="shared" si="5"/>
        <v>15</v>
      </c>
      <c r="Q19" s="1">
        <f t="shared" si="12"/>
        <v>26</v>
      </c>
      <c r="R19" s="1"/>
    </row>
    <row r="20" spans="1:18">
      <c r="A20" s="1" t="str">
        <f t="shared" si="0"/>
        <v>Priya Joshi</v>
      </c>
      <c r="B20" s="1" t="str">
        <f>LEFT(A20,5)</f>
        <v>Priya</v>
      </c>
      <c r="C20" s="1" t="str">
        <f>RIGHT(A20,5)</f>
        <v>Joshi</v>
      </c>
      <c r="D20" s="1" t="str">
        <f t="shared" si="1"/>
        <v>NAHIK</v>
      </c>
      <c r="E20" s="1">
        <f t="shared" si="2"/>
        <v>16</v>
      </c>
      <c r="F20" s="1" t="str">
        <f t="shared" si="3"/>
        <v>ST106Priya Joshi</v>
      </c>
      <c r="G20" s="1" t="str">
        <f t="shared" si="6"/>
        <v>ST106Priya Joshi</v>
      </c>
      <c r="H20" s="2" t="str">
        <f t="shared" si="7"/>
        <v>2002</v>
      </c>
      <c r="I20" s="1" t="str">
        <f t="shared" si="8"/>
        <v>November</v>
      </c>
      <c r="J20" s="1" t="str">
        <f t="shared" si="9"/>
        <v>Sunday</v>
      </c>
      <c r="K20" s="1">
        <f t="shared" si="4"/>
        <v>14</v>
      </c>
      <c r="L20" s="1">
        <f t="shared" ca="1" si="10"/>
        <v>12</v>
      </c>
      <c r="M20" s="1"/>
      <c r="N20" s="1"/>
      <c r="O20" s="1">
        <f t="shared" si="11"/>
        <v>1</v>
      </c>
      <c r="P20" s="1">
        <f t="shared" si="5"/>
        <v>15</v>
      </c>
      <c r="Q20" s="1">
        <f t="shared" si="12"/>
        <v>24</v>
      </c>
      <c r="R20" s="1"/>
    </row>
    <row r="21" spans="1:18">
      <c r="A21" s="1" t="str">
        <f t="shared" si="0"/>
        <v>Karan More</v>
      </c>
      <c r="B21" s="1" t="str">
        <f>LEFT(A21,5)</f>
        <v>Karan</v>
      </c>
      <c r="C21" s="1" t="str">
        <f>RIGHT(A21,4)</f>
        <v>More</v>
      </c>
      <c r="D21" s="1" t="str">
        <f t="shared" si="1"/>
        <v>MUMBAI</v>
      </c>
      <c r="E21" s="1">
        <f t="shared" si="2"/>
        <v>6</v>
      </c>
      <c r="F21" s="1" t="str">
        <f t="shared" si="3"/>
        <v>ST107Karan More</v>
      </c>
      <c r="G21" s="1" t="str">
        <f t="shared" si="6"/>
        <v>ST107Karan More</v>
      </c>
      <c r="H21" s="2" t="str">
        <f t="shared" si="7"/>
        <v>2001</v>
      </c>
      <c r="I21" s="1" t="str">
        <f t="shared" si="8"/>
        <v>August</v>
      </c>
      <c r="J21" s="1" t="str">
        <f t="shared" si="9"/>
        <v>Thursday</v>
      </c>
      <c r="K21" s="1">
        <f t="shared" ref="K21:K22" si="13">HOUR(F8)</f>
        <v>15</v>
      </c>
      <c r="L21" s="1">
        <f t="shared" ca="1" si="10"/>
        <v>8</v>
      </c>
      <c r="M21" s="1"/>
      <c r="N21" s="1"/>
      <c r="O21" s="1">
        <f t="shared" si="11"/>
        <v>0</v>
      </c>
      <c r="P21" s="1">
        <f t="shared" si="5"/>
        <v>15</v>
      </c>
      <c r="Q21" s="1">
        <f t="shared" si="12"/>
        <v>25</v>
      </c>
      <c r="R21" s="1"/>
    </row>
    <row r="22" spans="1:18">
      <c r="A22" s="1" t="str">
        <f t="shared" si="0"/>
        <v>Sneha Kulkarni</v>
      </c>
      <c r="B22" s="1" t="str">
        <f>LEFT(A22,5)</f>
        <v>Sneha</v>
      </c>
      <c r="C22" s="1" t="str">
        <f>RIGHT(A22,8)</f>
        <v>Kulkarni</v>
      </c>
      <c r="D22" s="1" t="str">
        <f t="shared" si="1"/>
        <v>PUNE</v>
      </c>
      <c r="E22" s="1">
        <f t="shared" si="2"/>
        <v>3</v>
      </c>
      <c r="F22" s="1" t="str">
        <f t="shared" si="3"/>
        <v>ST108Sneha Kulkarni</v>
      </c>
      <c r="G22" s="1" t="str">
        <f t="shared" si="6"/>
        <v>ST108Sneha Kulkarni</v>
      </c>
      <c r="H22" s="2" t="str">
        <f t="shared" si="7"/>
        <v>2003</v>
      </c>
      <c r="I22" s="1" t="str">
        <f t="shared" si="8"/>
        <v>February</v>
      </c>
      <c r="J22" s="1" t="str">
        <f t="shared" si="9"/>
        <v>Sunday</v>
      </c>
      <c r="K22" s="1">
        <f t="shared" si="13"/>
        <v>16</v>
      </c>
      <c r="L22" s="1">
        <f t="shared" ca="1" si="10"/>
        <v>5</v>
      </c>
      <c r="M22" s="1"/>
      <c r="N22" s="1"/>
      <c r="O22" s="1">
        <f t="shared" si="11"/>
        <v>1</v>
      </c>
      <c r="P22" s="1">
        <f t="shared" si="5"/>
        <v>15</v>
      </c>
      <c r="Q22" s="1">
        <f t="shared" si="12"/>
        <v>23</v>
      </c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 t="s">
        <v>55</v>
      </c>
      <c r="B25" s="1" t="s">
        <v>56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61</v>
      </c>
      <c r="H25" s="1" t="s">
        <v>62</v>
      </c>
      <c r="I25" s="1" t="s">
        <v>63</v>
      </c>
      <c r="J25" s="1" t="s">
        <v>64</v>
      </c>
      <c r="K25" s="1" t="s">
        <v>65</v>
      </c>
      <c r="L25" s="1" t="s">
        <v>66</v>
      </c>
      <c r="M25" s="1" t="s">
        <v>67</v>
      </c>
      <c r="N25" s="1"/>
      <c r="O25" s="1"/>
      <c r="P25" s="1"/>
      <c r="Q25" s="1"/>
      <c r="R25" s="1"/>
    </row>
    <row r="26" spans="1:18">
      <c r="A26" s="1">
        <f>COUNTIF(I2:I9,"&gt;80")</f>
        <v>3</v>
      </c>
      <c r="B26" s="1">
        <f>COUNTIF(K2:K9,"YES")</f>
        <v>5</v>
      </c>
      <c r="C26" s="1">
        <f>COUNTIFS(G2:G9,"PUNE",J2:J9,"&gt;90")</f>
        <v>3</v>
      </c>
      <c r="D26" s="1">
        <f>SUM(I2:I9)</f>
        <v>533</v>
      </c>
      <c r="E26" s="1">
        <f>AVERAGE(I2:I9)</f>
        <v>66.625</v>
      </c>
      <c r="F26" s="1">
        <f>MAX(I2:I9)</f>
        <v>95</v>
      </c>
      <c r="G26" s="1">
        <f>MIN(I2:I9)</f>
        <v>30</v>
      </c>
      <c r="H26" s="1" t="str">
        <f>IF(I2&gt;35,"PASS","FAIL")</f>
        <v>PASS</v>
      </c>
      <c r="I26" s="1" t="str">
        <f>IF(J2&gt;=75,"YES","NO")</f>
        <v>YES</v>
      </c>
      <c r="J26" s="1" t="str" cm="1">
        <f t="array" ref="J26">_xlfn.IFS(I2&gt;=90,"A",I2&gt;=80,"B1",I2&gt;=70,"B2",I2&gt;=50,"C",I2&gt;=40,"C2",I2&lt;35,"FAIL")</f>
        <v>B1</v>
      </c>
      <c r="K26" s="1" t="str" cm="1">
        <f t="array" ref="K26">_xlfn.IFS(I2&gt;=90,"EXCELLENT",I2&gt;=75,"GOOD",I2&gt;=50,"AVERAGE",I2&lt;50,"POOR")</f>
        <v>GOOD</v>
      </c>
      <c r="L26" s="1" t="str">
        <f>IF(K2="YES","ACTIVE","PENDINGFEES")</f>
        <v>ACTIVE</v>
      </c>
      <c r="M26" s="1" t="str">
        <f>IF(AND(I2&gt;=35,J2&gt;=75),"PROMOTED","NOT PROMOTED")</f>
        <v>PROMOTED</v>
      </c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 t="str">
        <f t="shared" ref="H27:H33" si="14">IF(I3&gt;35,"PASS","FAIL")</f>
        <v>PASS</v>
      </c>
      <c r="I27" s="1" t="str">
        <f t="shared" ref="I27:I33" si="15">IF(J3&gt;=75,"YES","NO")</f>
        <v>NO</v>
      </c>
      <c r="J27" s="1" t="str" cm="1">
        <f t="array" ref="J27">_xlfn.IFS(I3&gt;=90,"A",I3&gt;=80,"B1",I3&gt;=70,"B2",I3&gt;=50,"C",I3&gt;=40,"C2",I3&lt;35,"FAIL")</f>
        <v>C2</v>
      </c>
      <c r="K27" s="1" t="str" cm="1">
        <f t="array" ref="K27">_xlfn.IFS(I3&gt;=90,"EXCELLENT",I3&gt;=75,"GOOD",I3&gt;=50,"AVERAGE",I3&lt;50,"POOR")</f>
        <v>POOR</v>
      </c>
      <c r="L27" s="1" t="str">
        <f t="shared" ref="L27:L33" si="16">IF(K3="YES","ACTIVE","PENDINGFEES")</f>
        <v>PENDINGFEES</v>
      </c>
      <c r="M27" s="1" t="str">
        <f>IF(AND(I3&gt;=35,J3&gt;=75),"PROMOTED","NOT PROMOTED")</f>
        <v>NOT PROMOTED</v>
      </c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 t="str">
        <f t="shared" si="14"/>
        <v>PASS</v>
      </c>
      <c r="I28" s="1" t="str">
        <f t="shared" si="15"/>
        <v>YES</v>
      </c>
      <c r="J28" s="1" t="str" cm="1">
        <f t="array" ref="J28">_xlfn.IFS(I4&gt;=90,"A",I4&gt;=80,"B1",I4&gt;=70,"B2",I4&gt;=50,"C",I4&gt;=40,"C2",I4&lt;35,"FAIL")</f>
        <v>B2</v>
      </c>
      <c r="K28" s="1" t="str" cm="1">
        <f t="array" ref="K28">_xlfn.IFS(I4&gt;=90,"EXCELLENT",I4&gt;=75,"GOOD",I4&gt;=50,"AVERAGE",I4&lt;50,"POOR")</f>
        <v>AVERAGE</v>
      </c>
      <c r="L28" s="1" t="str">
        <f t="shared" si="16"/>
        <v>ACTIVE</v>
      </c>
      <c r="M28" s="1" t="str">
        <f t="shared" ref="M28:M33" si="17">IF(AND(I4&gt;=35,J4&gt;=75),"PROMOTED","NOT PROMOTED")</f>
        <v>PROMOTED</v>
      </c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 t="str">
        <f t="shared" si="14"/>
        <v>FAIL</v>
      </c>
      <c r="I29" s="1" t="str">
        <f t="shared" si="15"/>
        <v>NO</v>
      </c>
      <c r="J29" s="1" t="str" cm="1">
        <f t="array" ref="J29">_xlfn.IFS(I5&gt;=90,"A",I5&gt;=80,"B1",I5&gt;=70,"B2",I5&gt;=50,"C",I5&gt;=40,"C2",I5&lt;35,"FAIL")</f>
        <v>FAIL</v>
      </c>
      <c r="K29" s="1" t="str" cm="1">
        <f t="array" ref="K29">_xlfn.IFS(I5&gt;=90,"EXCELLENT",I5&gt;=75,"GOOD",I5&gt;=50,"AVERAGE",I5&lt;50,"POOR")</f>
        <v>POOR</v>
      </c>
      <c r="L29" s="1" t="str">
        <f t="shared" si="16"/>
        <v>PENDINGFEES</v>
      </c>
      <c r="M29" s="1" t="str">
        <f t="shared" si="17"/>
        <v>NOT PROMOTED</v>
      </c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 t="str">
        <f t="shared" si="14"/>
        <v>PASS</v>
      </c>
      <c r="I30" s="1" t="str">
        <f t="shared" si="15"/>
        <v>YES</v>
      </c>
      <c r="J30" s="1" t="str" cm="1">
        <f t="array" ref="J30">_xlfn.IFS(I6&gt;=90,"A",I6&gt;=80,"B1",I6&gt;=70,"B2",I6&gt;=50,"C",I6&gt;=40,"C2",I6&lt;35,"FAIL")</f>
        <v>A</v>
      </c>
      <c r="K30" s="1" t="str" cm="1">
        <f t="array" ref="K30">_xlfn.IFS(I6&gt;=90,"EXCELLENT",I6&gt;=75,"GOOD",I6&gt;=50,"AVERAGE",I6&lt;50,"POOR")</f>
        <v>EXCELLENT</v>
      </c>
      <c r="L30" s="1" t="str">
        <f t="shared" si="16"/>
        <v>ACTIVE</v>
      </c>
      <c r="M30" s="1" t="str">
        <f t="shared" si="17"/>
        <v>PROMOTED</v>
      </c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 t="str">
        <f t="shared" si="14"/>
        <v>PASS</v>
      </c>
      <c r="I31" s="1" t="str">
        <f t="shared" si="15"/>
        <v>YES</v>
      </c>
      <c r="J31" s="1" t="str" cm="1">
        <f t="array" ref="J31">_xlfn.IFS(I7&gt;=90,"A",I7&gt;=80,"B1",I7&gt;=70,"B2",I7&gt;=50,"C",I7&gt;=40,"C2",I7&lt;35,"FAIL")</f>
        <v>C</v>
      </c>
      <c r="K31" s="1" t="str" cm="1">
        <f t="array" ref="K31">_xlfn.IFS(I7&gt;=90,"EXCELLENT",I7&gt;=75,"GOOD",I7&gt;=50,"AVERAGE",I7&lt;50,"POOR")</f>
        <v>AVERAGE</v>
      </c>
      <c r="L31" s="1" t="str">
        <f t="shared" si="16"/>
        <v>ACTIVE</v>
      </c>
      <c r="M31" s="1" t="str">
        <f t="shared" si="17"/>
        <v>PROMOTED</v>
      </c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 t="str">
        <f t="shared" si="14"/>
        <v>PASS</v>
      </c>
      <c r="I32" s="1" t="str">
        <f t="shared" si="15"/>
        <v>YES</v>
      </c>
      <c r="J32" s="1" t="str" cm="1">
        <f t="array" ref="J32">_xlfn.IFS(I8&gt;=90,"A",I8&gt;=80,"B1",I8&gt;=70,"B2",I8&gt;=50,"C",I8&gt;=40,"C2",I8&lt;35,"FAIL")</f>
        <v>C</v>
      </c>
      <c r="K32" s="1" t="str" cm="1">
        <f t="array" ref="K32">_xlfn.IFS(I8&gt;=90,"EXCELLENT",I8&gt;=75,"GOOD",I8&gt;=50,"AVERAGE",I8&lt;50,"POOR")</f>
        <v>AVERAGE</v>
      </c>
      <c r="L32" s="1" t="str">
        <f t="shared" si="16"/>
        <v>PENDINGFEES</v>
      </c>
      <c r="M32" s="1" t="str">
        <f t="shared" si="17"/>
        <v>PROMOTED</v>
      </c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 t="str">
        <f t="shared" si="14"/>
        <v>PASS</v>
      </c>
      <c r="I33" s="1" t="str">
        <f t="shared" si="15"/>
        <v>YES</v>
      </c>
      <c r="J33" s="1" t="str" cm="1">
        <f t="array" ref="J33">_xlfn.IFS(I9&gt;=90,"A",I9&gt;=80,"B1",I9&gt;=70,"B2",I9&gt;=50,"C",I9&gt;=40,"C2",I9&lt;35,"FAIL")</f>
        <v>A</v>
      </c>
      <c r="K33" s="1" t="str" cm="1">
        <f t="array" ref="K33">_xlfn.IFS(I9&gt;=90,"EXCELLENT",I9&gt;=75,"GOOD",I9&gt;=50,"AVERAGE",I9&lt;50,"POOR")</f>
        <v>EXCELLENT</v>
      </c>
      <c r="L33" s="1" t="str">
        <f t="shared" si="16"/>
        <v>ACTIVE</v>
      </c>
      <c r="M33" s="1" t="str">
        <f t="shared" si="17"/>
        <v>PROMOTED</v>
      </c>
      <c r="N33" s="1"/>
      <c r="O33" s="1"/>
      <c r="P33" s="1"/>
      <c r="Q33" s="1"/>
      <c r="R33" s="1"/>
    </row>
    <row r="34" spans="1:18">
      <c r="A34" s="4"/>
    </row>
    <row r="35" spans="1:18">
      <c r="A35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lakhekalyani25@gmail.com</dc:creator>
  <cp:lastModifiedBy>lakhekalyani25@gmail.com</cp:lastModifiedBy>
  <dcterms:created xsi:type="dcterms:W3CDTF">2026-06-26T05:06:53Z</dcterms:created>
  <dcterms:modified xsi:type="dcterms:W3CDTF">2026-07-03T06:39:11Z</dcterms:modified>
</cp:coreProperties>
</file>